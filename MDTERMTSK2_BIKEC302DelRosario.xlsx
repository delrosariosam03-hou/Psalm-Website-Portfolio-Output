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l\"/>
    </mc:Choice>
  </mc:AlternateContent>
  <bookViews>
    <workbookView xWindow="0" yWindow="0" windowWidth="28800" windowHeight="12300"/>
  </bookViews>
  <sheets>
    <sheet name="Pivot Table" sheetId="2" r:id="rId1"/>
    <sheet name="Bike Sales" sheetId="1" r:id="rId2"/>
  </sheets>
  <calcPr calcId="162913"/>
  <pivotCaches>
    <pivotCache cacheId="1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3" i="1"/>
  <c r="S2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3" i="1"/>
</calcChain>
</file>

<file path=xl/sharedStrings.xml><?xml version="1.0" encoding="utf-8"?>
<sst xmlns="http://schemas.openxmlformats.org/spreadsheetml/2006/main" count="940" uniqueCount="178">
  <si>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</si>
  <si>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</si>
  <si>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</si>
  <si>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</si>
  <si>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</si>
  <si>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</si>
  <si>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</si>
  <si>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</si>
  <si>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</si>
  <si>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</si>
  <si>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</si>
  <si>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</si>
  <si>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</si>
  <si>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</si>
  <si>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</si>
  <si>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</si>
  <si>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</si>
  <si>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</si>
  <si>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</si>
  <si>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</si>
  <si>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</si>
  <si>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</si>
  <si>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</si>
  <si>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</si>
  <si>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</si>
  <si>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</si>
  <si>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</si>
  <si>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</si>
  <si>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</si>
  <si>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</si>
  <si>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</si>
  <si>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</si>
  <si>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</si>
  <si>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</si>
  <si>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</si>
  <si>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</si>
  <si>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</si>
  <si>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</si>
  <si>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</si>
  <si>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</si>
  <si>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</si>
  <si>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</si>
  <si>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</si>
  <si>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</si>
  <si>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</si>
  <si>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</si>
  <si>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</si>
  <si>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</si>
  <si>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</si>
  <si>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</si>
  <si>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</si>
  <si>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</si>
  <si>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</si>
  <si>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</si>
  <si>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</si>
  <si>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</si>
  <si>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</si>
  <si>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</si>
  <si>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</si>
  <si>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</si>
  <si>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</si>
  <si>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</si>
  <si>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</si>
  <si>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</si>
  <si>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</si>
  <si>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</si>
  <si>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</si>
  <si>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</si>
  <si>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</si>
  <si>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</si>
  <si>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</si>
  <si>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</si>
  <si>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</si>
  <si>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</si>
  <si>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</si>
  <si>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</si>
  <si>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</si>
  <si>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</si>
  <si>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</si>
  <si>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</si>
  <si>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</si>
  <si>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</si>
  <si>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</si>
  <si>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</si>
  <si>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</si>
  <si>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</si>
  <si>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</si>
  <si>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</si>
  <si>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</si>
  <si>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</si>
  <si>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</si>
  <si>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</si>
  <si>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</si>
  <si>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</si>
  <si>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</si>
  <si>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</si>
  <si>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</si>
  <si>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</si>
  <si>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</si>
  <si>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</si>
  <si>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</si>
  <si>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</si>
  <si>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</si>
  <si>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</si>
  <si>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</si>
  <si>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</si>
  <si>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</si>
  <si>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</si>
  <si>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</si>
  <si>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</si>
  <si>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</si>
  <si>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</si>
  <si>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</si>
  <si>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</si>
  <si>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</si>
  <si>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</si>
  <si>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</si>
  <si>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</si>
  <si>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</si>
  <si>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</si>
  <si>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</si>
  <si>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</si>
  <si>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</si>
  <si>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</si>
  <si>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</si>
  <si>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</si>
  <si>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</si>
  <si>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</si>
  <si>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</si>
  <si>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</si>
  <si>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</si>
  <si>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</si>
  <si>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</si>
  <si>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</si>
  <si>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</si>
  <si>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</si>
  <si>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</si>
  <si>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</si>
  <si>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</si>
  <si>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</si>
  <si>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</si>
  <si>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</si>
  <si>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</si>
  <si>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</si>
  <si>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</si>
  <si>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</si>
  <si>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</si>
  <si>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</si>
  <si>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</si>
  <si>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</si>
  <si>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</si>
  <si>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</si>
  <si>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</si>
  <si>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</si>
  <si>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</si>
  <si>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</si>
  <si>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</si>
  <si>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</si>
  <si>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Sum of Year</t>
  </si>
  <si>
    <t>Row Labels</t>
  </si>
  <si>
    <t>Grand Total</t>
  </si>
  <si>
    <t>Sum of Order_Quantity</t>
  </si>
  <si>
    <t>Column Labels</t>
  </si>
  <si>
    <t>Step 1</t>
  </si>
  <si>
    <t>Step 2</t>
  </si>
  <si>
    <t>Removed Year</t>
  </si>
  <si>
    <t>Step 3</t>
  </si>
  <si>
    <t>Country Moved in Column</t>
  </si>
  <si>
    <t>Step 4</t>
  </si>
  <si>
    <t>Zeroes Added</t>
  </si>
  <si>
    <t>Step 5</t>
  </si>
  <si>
    <t>Age Group</t>
  </si>
  <si>
    <t>Countries</t>
  </si>
  <si>
    <t>Summation Of Order</t>
  </si>
  <si>
    <t>Summation of Order</t>
  </si>
  <si>
    <t>Part 2</t>
  </si>
  <si>
    <t>Challenge</t>
  </si>
  <si>
    <t xml:space="preserve">Sum of 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</si>
</sst>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_);[Red]\(&quot;$&quot;#,##0.00\)"/>
    <numFmt numFmtId="165" formatCode="_-[$$-409]* #,##0.00_ ;_-[$$-409]* \-#,##0.00\ ;_-[$$-409]* &quot;-&quot;??_ ;_-@_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 applyFill="1" applyBorder="1" applyAlignment="1"/>
    <xf numFmtId="0" fontId="20" fillId="0" borderId="0" xfId="0" applyFont="1" applyFill="1" applyBorder="1" applyAlignme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1"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Bike_Sales_Pivot_Lab.xlsx]Pivot Table!Sales Summary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Summary</a:t>
            </a:r>
            <a:r>
              <a:rPr lang="en-PH" baseline="0"/>
              <a:t> Sales Of Psalm's Bike Shop :)</a:t>
            </a:r>
            <a:endParaRPr lang="en-PH"/>
          </a:p>
        </c:rich>
      </c:tx>
      <c:layout>
        <c:manualLayout>
          <c:xMode val="edge"/>
          <c:yMode val="edge"/>
          <c:x val="0.28310022947357799"/>
          <c:y val="1.041709702360225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5.3173766460613912E-2"/>
          <c:y val="0.11535533219620735"/>
          <c:w val="0.75929522768154623"/>
          <c:h val="0.660991070216545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Table'!$B$33:$B$34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Table'!$A$35:$A$44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Table'!$B$35:$B$44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6-4AE4-8A0D-77EEB44FF745}"/>
            </c:ext>
          </c:extLst>
        </c:ser>
        <c:ser>
          <c:idx val="1"/>
          <c:order val="1"/>
          <c:tx>
            <c:strRef>
              <c:f>'Pivot Table'!$C$33:$C$34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Table'!$A$35:$A$44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Table'!$C$35:$C$44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66-4AE4-8A0D-77EEB44FF745}"/>
            </c:ext>
          </c:extLst>
        </c:ser>
        <c:ser>
          <c:idx val="2"/>
          <c:order val="2"/>
          <c:tx>
            <c:strRef>
              <c:f>'Pivot Table'!$D$33:$D$34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 Table'!$A$35:$A$44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Table'!$D$35:$D$44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66-4AE4-8A0D-77EEB44FF745}"/>
            </c:ext>
          </c:extLst>
        </c:ser>
        <c:ser>
          <c:idx val="3"/>
          <c:order val="3"/>
          <c:tx>
            <c:strRef>
              <c:f>'Pivot Table'!$E$33:$E$34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'Pivot Table'!$A$35:$A$44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Table'!$E$35:$E$44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66-4AE4-8A0D-77EEB44FF745}"/>
            </c:ext>
          </c:extLst>
        </c:ser>
        <c:ser>
          <c:idx val="4"/>
          <c:order val="4"/>
          <c:tx>
            <c:strRef>
              <c:f>'Pivot Table'!$F$33:$F$34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'Pivot Table'!$A$35:$A$44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Table'!$F$35:$F$44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66-4AE4-8A0D-77EEB44FF745}"/>
            </c:ext>
          </c:extLst>
        </c:ser>
        <c:ser>
          <c:idx val="5"/>
          <c:order val="5"/>
          <c:tx>
            <c:strRef>
              <c:f>'Pivot Table'!$G$33:$G$34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'Pivot Table'!$A$35:$A$44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Table'!$G$35:$G$44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66-4AE4-8A0D-77EEB44FF745}"/>
            </c:ext>
          </c:extLst>
        </c:ser>
        <c:ser>
          <c:idx val="6"/>
          <c:order val="6"/>
          <c:tx>
            <c:strRef>
              <c:f>'Pivot Table'!$H$33:$H$34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'Pivot Table'!$A$35:$A$44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Table'!$H$35:$H$44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27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66-4AE4-8A0D-77EEB44FF745}"/>
            </c:ext>
          </c:extLst>
        </c:ser>
        <c:ser>
          <c:idx val="7"/>
          <c:order val="7"/>
          <c:tx>
            <c:strRef>
              <c:f>'Pivot Table'!$I$33:$I$34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'Pivot Table'!$A$35:$A$44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Table'!$I$35:$I$44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66-4AE4-8A0D-77EEB44FF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6093280"/>
        <c:axId val="1716091616"/>
      </c:barChart>
      <c:catAx>
        <c:axId val="171609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091616"/>
        <c:crosses val="autoZero"/>
        <c:auto val="1"/>
        <c:lblAlgn val="ctr"/>
        <c:lblOffset val="100"/>
        <c:noMultiLvlLbl val="0"/>
      </c:catAx>
      <c:valAx>
        <c:axId val="171609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09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Bike_Sales_Pivot_Lab.xlsx]Pivot Table!PivotTable7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Challenge(Most</a:t>
            </a:r>
            <a:r>
              <a:rPr lang="en-PH" baseline="0"/>
              <a:t> Profittable Market)</a:t>
            </a:r>
            <a:endParaRPr lang="en-P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Table'!$B$56:$B$57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Table'!$A$58:$A$67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Table'!$B$58:$B$67</c:f>
              <c:numCache>
                <c:formatCode>_-[$$-409]* #,##0.00_ ;_-[$$-409]* \-#,##0.00\ ;_-[$$-409]* "-"??_ ;_-@_ </c:formatCode>
                <c:ptCount val="6"/>
                <c:pt idx="0">
                  <c:v>2265</c:v>
                </c:pt>
                <c:pt idx="1">
                  <c:v>490</c:v>
                </c:pt>
                <c:pt idx="2">
                  <c:v>16204</c:v>
                </c:pt>
                <c:pt idx="3">
                  <c:v>2435</c:v>
                </c:pt>
                <c:pt idx="4">
                  <c:v>13276</c:v>
                </c:pt>
                <c:pt idx="5">
                  <c:v>15656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5-4FD5-BBBA-77B17CDBE9B6}"/>
            </c:ext>
          </c:extLst>
        </c:ser>
        <c:ser>
          <c:idx val="1"/>
          <c:order val="1"/>
          <c:tx>
            <c:strRef>
              <c:f>'Pivot Table'!$C$56:$C$57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Table'!$A$58:$A$67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Table'!$C$58:$C$67</c:f>
              <c:numCache>
                <c:formatCode>_-[$$-409]* #,##0.00_ ;_-[$$-409]* \-#,##0.00\ ;_-[$$-409]* "-"??_ ;_-@_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6302</c:v>
                </c:pt>
                <c:pt idx="3">
                  <c:v>2821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65-4FD5-BBBA-77B17CDBE9B6}"/>
            </c:ext>
          </c:extLst>
        </c:ser>
        <c:ser>
          <c:idx val="2"/>
          <c:order val="2"/>
          <c:tx>
            <c:strRef>
              <c:f>'Pivot Table'!$D$56:$D$57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 Table'!$A$58:$A$67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Table'!$D$58:$D$67</c:f>
              <c:numCache>
                <c:formatCode>_-[$$-409]* #,##0.00_ ;_-[$$-409]* \-#,##0.00\ ;_-[$$-409]* "-"??_ ;_-@_ </c:formatCode>
                <c:ptCount val="6"/>
                <c:pt idx="0">
                  <c:v>6291</c:v>
                </c:pt>
                <c:pt idx="1">
                  <c:v>4216</c:v>
                </c:pt>
                <c:pt idx="2">
                  <c:v>1054</c:v>
                </c:pt>
                <c:pt idx="3">
                  <c:v>9420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65-4FD5-BBBA-77B17CDBE9B6}"/>
            </c:ext>
          </c:extLst>
        </c:ser>
        <c:ser>
          <c:idx val="3"/>
          <c:order val="3"/>
          <c:tx>
            <c:strRef>
              <c:f>'Pivot Table'!$E$56:$E$57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'Pivot Table'!$A$58:$A$67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Table'!$E$58:$E$67</c:f>
              <c:numCache>
                <c:formatCode>_-[$$-409]* #,##0.00_ ;_-[$$-409]* \-#,##0.00\ ;_-[$$-409]* "-"??_ ;_-@_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8410</c:v>
                </c:pt>
                <c:pt idx="5">
                  <c:v>5226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65-4FD5-BBBA-77B17CDBE9B6}"/>
            </c:ext>
          </c:extLst>
        </c:ser>
        <c:ser>
          <c:idx val="4"/>
          <c:order val="4"/>
          <c:tx>
            <c:strRef>
              <c:f>'Pivot Table'!$F$56:$F$57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'Pivot Table'!$A$58:$A$67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Table'!$F$58:$F$67</c:f>
              <c:numCache>
                <c:formatCode>_-[$$-409]* #,##0.00_ ;_-[$$-409]* \-#,##0.00\ ;_-[$$-409]* "-"??_ ;_-@_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2086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65-4FD5-BBBA-77B17CDBE9B6}"/>
            </c:ext>
          </c:extLst>
        </c:ser>
        <c:ser>
          <c:idx val="5"/>
          <c:order val="5"/>
          <c:tx>
            <c:strRef>
              <c:f>'Pivot Table'!$G$56:$G$57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'Pivot Table'!$A$58:$A$67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Table'!$G$58:$G$67</c:f>
              <c:numCache>
                <c:formatCode>_-[$$-409]* #,##0.00_ ;_-[$$-409]* \-#,##0.00\ ;_-[$$-409]* "-"??_ ;_-@_ </c:formatCode>
                <c:ptCount val="6"/>
                <c:pt idx="0">
                  <c:v>1043</c:v>
                </c:pt>
                <c:pt idx="1">
                  <c:v>1745</c:v>
                </c:pt>
                <c:pt idx="2">
                  <c:v>1047</c:v>
                </c:pt>
                <c:pt idx="3">
                  <c:v>1043</c:v>
                </c:pt>
                <c:pt idx="4">
                  <c:v>1043</c:v>
                </c:pt>
                <c:pt idx="5">
                  <c:v>3151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65-4FD5-BBBA-77B17CDBE9B6}"/>
            </c:ext>
          </c:extLst>
        </c:ser>
        <c:ser>
          <c:idx val="6"/>
          <c:order val="6"/>
          <c:tx>
            <c:strRef>
              <c:f>'Pivot Table'!$H$56:$H$57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'Pivot Table'!$A$58:$A$67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Table'!$H$58:$H$67</c:f>
              <c:numCache>
                <c:formatCode>_-[$$-409]* #,##0.00_ ;_-[$$-409]* \-#,##0.00\ ;_-[$$-409]* "-"??_ ;_-@_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10952</c:v>
                </c:pt>
                <c:pt idx="3">
                  <c:v>2684</c:v>
                </c:pt>
                <c:pt idx="4">
                  <c:v>27570</c:v>
                </c:pt>
                <c:pt idx="5">
                  <c:v>16035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65-4FD5-BBBA-77B17CDBE9B6}"/>
            </c:ext>
          </c:extLst>
        </c:ser>
        <c:ser>
          <c:idx val="7"/>
          <c:order val="7"/>
          <c:tx>
            <c:strRef>
              <c:f>'Pivot Table'!$I$56:$I$57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'Pivot Table'!$A$58:$A$67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Table'!$I$58:$I$67</c:f>
              <c:numCache>
                <c:formatCode>_-[$$-409]* #,##0.00_ ;_-[$$-409]* \-#,##0.00\ ;_-[$$-409]* "-"??_ ;_-@_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65-4FD5-BBBA-77B17CDBE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7672592"/>
        <c:axId val="1717673008"/>
      </c:barChart>
      <c:catAx>
        <c:axId val="171767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673008"/>
        <c:crosses val="autoZero"/>
        <c:auto val="1"/>
        <c:lblAlgn val="ctr"/>
        <c:lblOffset val="100"/>
        <c:noMultiLvlLbl val="0"/>
      </c:catAx>
      <c:valAx>
        <c:axId val="171767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67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117658</xdr:colOff>
      <xdr:row>31</xdr:row>
      <xdr:rowOff>141194</xdr:rowOff>
    </xdr:from>
    <xdr:to>
      <xdr:col>19</xdr:col>
      <xdr:colOff>571500</xdr:colOff>
      <xdr:row>49</xdr:row>
      <xdr:rowOff>100854</xdr:rowOff>
    </xdr:to>
    <xdr:graphicFrame macro="">
      <xdr:nvGraphicFramePr>
        <xdr:cNvPr id="2" name="Sales Summa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357187</xdr:colOff>
      <xdr:row>54</xdr:row>
      <xdr:rowOff>66674</xdr:rowOff>
    </xdr:from>
    <xdr:to>
      <xdr:col>19</xdr:col>
      <xdr:colOff>514350</xdr:colOff>
      <xdr:row>73</xdr:row>
      <xdr:rowOff>133349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OMLAB" refreshedDate="46094.345952199074" createdVersion="6" refreshedVersion="6" minRefreshableVersion="3" recordCount="88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M"/>
        <s v="F"/>
      </sharedItems>
    </cacheField>
    <cacheField name="Country" numFmtId="0">
      <sharedItems count="8">
        <s v="United Kingdom"/>
        <s v="United States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">
  <r>
    <s v="000261695"/>
    <d v="2021-12-01T00:00:00"/>
    <n v="1"/>
    <s v="December"/>
    <n v="2021"/>
    <n v="44"/>
    <x v="0"/>
    <x v="0"/>
    <x v="0"/>
    <s v="England"/>
    <s v="Bikes"/>
    <s v="Mountain Bikes"/>
    <s v="Mountain-200 Silver, 42"/>
    <n v="1"/>
    <n v="1266"/>
    <n v="2320"/>
    <n v="1054"/>
    <n v="1266"/>
    <n v="2320"/>
  </r>
  <r>
    <s v="000261696"/>
    <d v="2021-12-01T00:00:00"/>
    <n v="1"/>
    <s v="December"/>
    <n v="2021"/>
    <n v="39"/>
    <x v="0"/>
    <x v="1"/>
    <x v="1"/>
    <s v="California"/>
    <s v="Bikes"/>
    <s v="Mountain Bikes"/>
    <s v="Mountain-200 Black, 46"/>
    <n v="4"/>
    <n v="1252"/>
    <n v="2295"/>
    <n v="4172"/>
    <n v="5008"/>
    <n v="9180"/>
  </r>
  <r>
    <s v="000261697"/>
    <d v="2021-12-02T00:00:00"/>
    <n v="2"/>
    <s v="December"/>
    <n v="2021"/>
    <n v="37"/>
    <x v="0"/>
    <x v="0"/>
    <x v="1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1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1"/>
    <x v="0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0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1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1"/>
    <x v="1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0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1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1"/>
    <x v="1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0"/>
    <x v="0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0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0"/>
    <x v="0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0"/>
    <x v="1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0"/>
    <x v="1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1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1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1"/>
    <x v="1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1"/>
    <x v="1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1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1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1"/>
    <x v="1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0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0"/>
    <x v="0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0"/>
    <x v="1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1"/>
    <x v="1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0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1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1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0"/>
    <x v="1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1"/>
    <x v="1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1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0"/>
    <x v="1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1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1"/>
    <x v="1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1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1"/>
    <x v="1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1"/>
    <x v="0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0"/>
    <x v="0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1"/>
    <x v="1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0"/>
    <x v="1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1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1"/>
    <x v="1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1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1"/>
    <x v="1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1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1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1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1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1"/>
    <x v="0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0"/>
    <x v="1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0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0"/>
    <x v="1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0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1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0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1"/>
    <x v="1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0"/>
    <x v="1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1"/>
    <x v="1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0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1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1"/>
    <x v="1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1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0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1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0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0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0"/>
    <x v="0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1"/>
    <x v="1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0"/>
    <x v="1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1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0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0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1"/>
    <x v="1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1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1"/>
    <x v="1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0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12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6" indent="0" outline="1" outlineData="1" multipleFieldFilters="0" chartFormat="3" rowHeaderCaption="Age Group" colHeaderCaption="Countries">
  <location ref="A56:J67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axis="axisCol" showAll="0">
      <items count="9">
        <item x="2"/>
        <item x="6"/>
        <item x="7"/>
        <item x="5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dataField="1" numFmtId="164" showAll="0"/>
    <pivotField numFmtId="164" showAll="0"/>
    <pivotField numFmtId="164" showAll="0"/>
  </pivotFields>
  <rowFields count="2">
    <field x="6"/>
    <field x="7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 Profit " fld="16" baseField="0" baseItem="0"/>
  </dataFields>
  <formats count="19">
    <format dxfId="114">
      <pivotArea type="all" dataOnly="0" outline="0" fieldPosition="0"/>
    </format>
    <format dxfId="113">
      <pivotArea outline="0" collapsedLevelsAreSubtotals="1" fieldPosition="0"/>
    </format>
    <format dxfId="112">
      <pivotArea type="origin" dataOnly="0" labelOnly="1" outline="0" fieldPosition="0"/>
    </format>
    <format dxfId="111">
      <pivotArea field="8" type="button" dataOnly="0" labelOnly="1" outline="0" axis="axisCol" fieldPosition="0"/>
    </format>
    <format dxfId="110">
      <pivotArea type="topRight" dataOnly="0" labelOnly="1" outline="0" fieldPosition="0"/>
    </format>
    <format dxfId="109">
      <pivotArea field="7" type="button" dataOnly="0" labelOnly="1" outline="0" axis="axisRow" fieldPosition="1"/>
    </format>
    <format dxfId="108">
      <pivotArea dataOnly="0" labelOnly="1" fieldPosition="0">
        <references count="1">
          <reference field="7" count="0"/>
        </references>
      </pivotArea>
    </format>
    <format dxfId="107">
      <pivotArea dataOnly="0" labelOnly="1" grandRow="1" outline="0" fieldPosition="0"/>
    </format>
    <format dxfId="106">
      <pivotArea dataOnly="0" labelOnly="1" fieldPosition="0">
        <references count="2">
          <reference field="6" count="0"/>
          <reference field="7" count="1" selected="0">
            <x v="0"/>
          </reference>
        </references>
      </pivotArea>
    </format>
    <format dxfId="105">
      <pivotArea dataOnly="0" labelOnly="1" fieldPosition="0">
        <references count="2">
          <reference field="6" count="0"/>
          <reference field="7" count="1" selected="0">
            <x v="1"/>
          </reference>
        </references>
      </pivotArea>
    </format>
    <format dxfId="104">
      <pivotArea dataOnly="0" labelOnly="1" fieldPosition="0">
        <references count="1">
          <reference field="8" count="0"/>
        </references>
      </pivotArea>
    </format>
    <format dxfId="103">
      <pivotArea dataOnly="0" labelOnly="1" grandCol="1" outline="0" fieldPosition="0"/>
    </format>
    <format dxfId="6">
      <pivotArea collapsedLevelsAreSubtotals="1" fieldPosition="0">
        <references count="1">
          <reference field="6" count="1">
            <x v="0"/>
          </reference>
        </references>
      </pivotArea>
    </format>
    <format dxfId="5">
      <pivotArea collapsedLevelsAreSubtotals="1" fieldPosition="0">
        <references count="2">
          <reference field="6" count="1" selected="0">
            <x v="0"/>
          </reference>
          <reference field="7" count="0"/>
        </references>
      </pivotArea>
    </format>
    <format dxfId="4">
      <pivotArea collapsedLevelsAreSubtotals="1" fieldPosition="0">
        <references count="1">
          <reference field="6" count="1">
            <x v="1"/>
          </reference>
        </references>
      </pivotArea>
    </format>
    <format dxfId="3">
      <pivotArea collapsedLevelsAreSubtotals="1" fieldPosition="0">
        <references count="2">
          <reference field="6" count="1" selected="0">
            <x v="1"/>
          </reference>
          <reference field="7" count="0"/>
        </references>
      </pivotArea>
    </format>
    <format dxfId="2">
      <pivotArea collapsedLevelsAreSubtotals="1" fieldPosition="0">
        <references count="1">
          <reference field="6" count="1">
            <x v="2"/>
          </reference>
        </references>
      </pivotArea>
    </format>
    <format dxfId="1">
      <pivotArea collapsedLevelsAreSubtotals="1" fieldPosition="0">
        <references count="2">
          <reference field="6" count="1" selected="0">
            <x v="2"/>
          </reference>
          <reference field="7" count="0"/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Sales Summary" cacheId="12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6" indent="0" outline="1" outlineData="1" multipleFieldFilters="0" chartFormat="8" rowHeaderCaption="Age Group" colHeaderCaption="Countries">
  <location ref="A33:J44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axis="axisCol" showAll="0">
      <items count="9">
        <item x="2"/>
        <item x="6"/>
        <item x="7"/>
        <item x="5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</pivotFields>
  <rowFields count="2">
    <field x="6"/>
    <field x="7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mation of Order" fld="13" baseField="0" baseItem="0"/>
  </dataFields>
  <formats count="1">
    <format dxfId="119">
      <pivotArea type="all" dataOnly="0" outline="0" fieldPosition="0"/>
    </format>
  </formats>
  <chartFormats count="8"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2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6" indent="0" outline="1" outlineData="1" multipleFieldFilters="0" rowHeaderCaption="Age Group" colHeaderCaption="Countries">
  <location ref="L25:U30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4">
        <item sd="0" x="2"/>
        <item sd="0" x="1"/>
        <item sd="0" x="0"/>
        <item t="default"/>
      </items>
    </pivotField>
    <pivotField axis="axisRow" showAll="0">
      <items count="3">
        <item x="1"/>
        <item x="0"/>
        <item t="default"/>
      </items>
    </pivotField>
    <pivotField axis="axisCol" showAll="0">
      <items count="9">
        <item x="2"/>
        <item x="6"/>
        <item x="7"/>
        <item x="5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</pivotFields>
  <rowFields count="2">
    <field x="6"/>
    <field x="7"/>
  </rowFields>
  <rowItems count="4">
    <i>
      <x/>
    </i>
    <i>
      <x v="1"/>
    </i>
    <i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mation Of Order" fld="13" baseField="0" baseItem="0"/>
  </dataFields>
  <formats count="1">
    <format dxfId="12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2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6" indent="0" outline="1" outlineData="1" multipleFieldFilters="0">
  <location ref="A25:J30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</pivotField>
    <pivotField showAll="0"/>
    <pivotField axis="axisCol" showAll="0">
      <items count="9">
        <item x="2"/>
        <item x="6"/>
        <item x="7"/>
        <item x="5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_Quantity" fld="13" baseField="0" baseItem="0"/>
  </dataFields>
  <formats count="10">
    <format dxfId="130">
      <pivotArea type="all" dataOnly="0" outline="0" fieldPosition="0"/>
    </format>
    <format dxfId="129">
      <pivotArea outline="0" collapsedLevelsAreSubtotals="1" fieldPosition="0"/>
    </format>
    <format dxfId="128">
      <pivotArea type="origin" dataOnly="0" labelOnly="1" outline="0" fieldPosition="0"/>
    </format>
    <format dxfId="127">
      <pivotArea field="8" type="button" dataOnly="0" labelOnly="1" outline="0" axis="axisCol" fieldPosition="0"/>
    </format>
    <format dxfId="126">
      <pivotArea type="topRight" dataOnly="0" labelOnly="1" outline="0" fieldPosition="0"/>
    </format>
    <format dxfId="125">
      <pivotArea field="6" type="button" dataOnly="0" labelOnly="1" outline="0" axis="axisRow" fieldPosition="0"/>
    </format>
    <format dxfId="124">
      <pivotArea dataOnly="0" labelOnly="1" fieldPosition="0">
        <references count="1">
          <reference field="6" count="0"/>
        </references>
      </pivotArea>
    </format>
    <format dxfId="123">
      <pivotArea dataOnly="0" labelOnly="1" grandRow="1" outline="0" fieldPosition="0"/>
    </format>
    <format dxfId="122">
      <pivotArea dataOnly="0" labelOnly="1" fieldPosition="0">
        <references count="1">
          <reference field="8" count="0"/>
        </references>
      </pivotArea>
    </format>
    <format dxfId="12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3:Q8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9">
        <item x="2"/>
        <item x="6"/>
        <item x="7"/>
        <item x="5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_Quantity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3:F7" firstHeaderRow="1" firstDataRow="1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>
      <items count="4">
        <item sd="0" x="0"/>
        <item sd="0" x="1"/>
        <item sd="0" x="2"/>
        <item t="default"/>
      </items>
    </pivotField>
    <pivotField showAll="0"/>
    <pivotField axis="axisRow" showAll="0">
      <items count="9">
        <item x="2"/>
        <item x="6"/>
        <item x="7"/>
        <item x="5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</pivotFields>
  <rowFields count="2">
    <field x="6"/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Order_Quantity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Age_Group">
  <location ref="A3:C21" firstHeaderRow="0" firstDataRow="1" firstDataCol="1"/>
  <pivotFields count="19">
    <pivotField showAll="0"/>
    <pivotField numFmtId="14" showAll="0"/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Row" showAll="0">
      <items count="9">
        <item x="2"/>
        <item x="6"/>
        <item x="7"/>
        <item x="5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</pivotFields>
  <rowFields count="2">
    <field x="6"/>
    <field x="8"/>
  </rowFields>
  <rowItems count="18">
    <i>
      <x/>
    </i>
    <i r="1">
      <x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5"/>
    </i>
    <i r="1">
      <x v="6"/>
    </i>
    <i>
      <x v="2"/>
    </i>
    <i r="1">
      <x/>
    </i>
    <i r="1">
      <x v="2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Year" fld="4" baseField="0" baseItem="0"/>
    <dataField name="Sum of Order_Quantity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67"/>
  <sheetViews>
    <sheetView tabSelected="1" zoomScale="55" zoomScaleNormal="55" workbookViewId="0">
      <selection activeCell="Z41" sqref="Z41"/>
    </sheetView>
  </sheetViews>
  <sheetFormatPr defaultRowHeight="15" x14ac:dyDescent="0.25"/>
  <cols>
    <col min="1" max="1" width="21.42578125" customWidth="1"/>
    <col min="2" max="2" width="14.140625" customWidth="1"/>
    <col min="3" max="3" width="10.28515625" customWidth="1"/>
    <col min="4" max="5" width="11.28515625" customWidth="1"/>
    <col min="6" max="6" width="13.5703125" customWidth="1"/>
    <col min="7" max="7" width="15.5703125" customWidth="1"/>
    <col min="8" max="8" width="13.140625" customWidth="1"/>
    <col min="9" max="9" width="13.5703125" customWidth="1"/>
    <col min="10" max="10" width="12.28515625" customWidth="1"/>
    <col min="11" max="11" width="6.85546875" customWidth="1"/>
    <col min="12" max="12" width="21.42578125" customWidth="1"/>
    <col min="13" max="13" width="14.140625" customWidth="1"/>
    <col min="14" max="14" width="7.42578125" customWidth="1"/>
    <col min="15" max="15" width="6.85546875" customWidth="1"/>
    <col min="16" max="16" width="9.140625" customWidth="1"/>
    <col min="17" max="17" width="13.5703125" customWidth="1"/>
    <col min="18" max="18" width="15.5703125" customWidth="1"/>
    <col min="19" max="19" width="13.140625" customWidth="1"/>
    <col min="20" max="20" width="13.5703125" bestFit="1" customWidth="1"/>
    <col min="21" max="21" width="11.28515625" bestFit="1" customWidth="1"/>
  </cols>
  <sheetData>
    <row r="2" spans="1:17" x14ac:dyDescent="0.25">
      <c r="A2" t="s">
        <v>163</v>
      </c>
      <c r="E2" t="s">
        <v>164</v>
      </c>
      <c r="F2" t="s">
        <v>165</v>
      </c>
      <c r="H2" t="s">
        <v>166</v>
      </c>
      <c r="J2" s="13" t="s">
        <v>167</v>
      </c>
      <c r="K2" s="13"/>
      <c r="L2" s="13"/>
    </row>
    <row r="3" spans="1:17" x14ac:dyDescent="0.25">
      <c r="A3" s="10" t="s">
        <v>6</v>
      </c>
      <c r="B3" t="s">
        <v>158</v>
      </c>
      <c r="C3" t="s">
        <v>161</v>
      </c>
      <c r="E3" s="10" t="s">
        <v>159</v>
      </c>
      <c r="F3" t="s">
        <v>161</v>
      </c>
      <c r="H3" s="10" t="s">
        <v>161</v>
      </c>
      <c r="I3" s="10" t="s">
        <v>162</v>
      </c>
    </row>
    <row r="4" spans="1:17" x14ac:dyDescent="0.25">
      <c r="A4" s="8" t="s">
        <v>21</v>
      </c>
      <c r="B4" s="9">
        <v>94987</v>
      </c>
      <c r="C4" s="9">
        <v>99</v>
      </c>
      <c r="E4" s="8" t="s">
        <v>21</v>
      </c>
      <c r="F4" s="9">
        <v>99</v>
      </c>
      <c r="H4" s="10" t="s">
        <v>159</v>
      </c>
      <c r="I4" t="s">
        <v>36</v>
      </c>
      <c r="J4" t="s">
        <v>58</v>
      </c>
      <c r="K4" t="s">
        <v>87</v>
      </c>
      <c r="L4" t="s">
        <v>50</v>
      </c>
      <c r="M4" t="s">
        <v>40</v>
      </c>
      <c r="N4" t="s">
        <v>29</v>
      </c>
      <c r="O4" t="s">
        <v>23</v>
      </c>
      <c r="P4" t="s">
        <v>45</v>
      </c>
      <c r="Q4" t="s">
        <v>160</v>
      </c>
    </row>
    <row r="5" spans="1:17" x14ac:dyDescent="0.25">
      <c r="A5" s="11" t="s">
        <v>36</v>
      </c>
      <c r="B5" s="9">
        <v>28294</v>
      </c>
      <c r="C5" s="9">
        <v>32</v>
      </c>
      <c r="E5" s="8" t="s">
        <v>35</v>
      </c>
      <c r="F5" s="9">
        <v>61</v>
      </c>
      <c r="H5" s="8" t="s">
        <v>21</v>
      </c>
      <c r="I5" s="9">
        <v>32</v>
      </c>
      <c r="J5" s="9"/>
      <c r="K5" s="9"/>
      <c r="L5" s="9">
        <v>13</v>
      </c>
      <c r="M5" s="9">
        <v>2</v>
      </c>
      <c r="N5" s="9">
        <v>4</v>
      </c>
      <c r="O5" s="9">
        <v>47</v>
      </c>
      <c r="P5" s="9">
        <v>1</v>
      </c>
      <c r="Q5" s="9">
        <v>99</v>
      </c>
    </row>
    <row r="6" spans="1:17" x14ac:dyDescent="0.25">
      <c r="A6" s="11" t="s">
        <v>50</v>
      </c>
      <c r="B6" s="9">
        <v>12126</v>
      </c>
      <c r="C6" s="9">
        <v>13</v>
      </c>
      <c r="E6" s="8" t="s">
        <v>42</v>
      </c>
      <c r="F6" s="9">
        <v>27</v>
      </c>
      <c r="H6" s="8" t="s">
        <v>35</v>
      </c>
      <c r="I6" s="9">
        <v>20</v>
      </c>
      <c r="J6" s="9">
        <v>11</v>
      </c>
      <c r="K6" s="9">
        <v>10</v>
      </c>
      <c r="L6" s="9"/>
      <c r="M6" s="9"/>
      <c r="N6" s="9">
        <v>4</v>
      </c>
      <c r="O6" s="9">
        <v>16</v>
      </c>
      <c r="P6" s="9"/>
      <c r="Q6" s="9">
        <v>61</v>
      </c>
    </row>
    <row r="7" spans="1:17" x14ac:dyDescent="0.25">
      <c r="A7" s="11" t="s">
        <v>40</v>
      </c>
      <c r="B7" s="9">
        <v>2021</v>
      </c>
      <c r="C7" s="9">
        <v>2</v>
      </c>
      <c r="E7" s="8" t="s">
        <v>160</v>
      </c>
      <c r="F7" s="9">
        <v>187</v>
      </c>
      <c r="H7" s="8" t="s">
        <v>42</v>
      </c>
      <c r="I7" s="9">
        <v>11</v>
      </c>
      <c r="J7" s="9"/>
      <c r="K7" s="9">
        <v>10</v>
      </c>
      <c r="L7" s="9"/>
      <c r="M7" s="9"/>
      <c r="N7" s="9">
        <v>6</v>
      </c>
      <c r="O7" s="9"/>
      <c r="P7" s="9"/>
      <c r="Q7" s="9">
        <v>27</v>
      </c>
    </row>
    <row r="8" spans="1:17" x14ac:dyDescent="0.25">
      <c r="A8" s="11" t="s">
        <v>29</v>
      </c>
      <c r="B8" s="9">
        <v>8084</v>
      </c>
      <c r="C8" s="9">
        <v>4</v>
      </c>
      <c r="H8" s="8" t="s">
        <v>160</v>
      </c>
      <c r="I8" s="9">
        <v>63</v>
      </c>
      <c r="J8" s="9">
        <v>11</v>
      </c>
      <c r="K8" s="9">
        <v>20</v>
      </c>
      <c r="L8" s="9">
        <v>13</v>
      </c>
      <c r="M8" s="9">
        <v>2</v>
      </c>
      <c r="N8" s="9">
        <v>14</v>
      </c>
      <c r="O8" s="9">
        <v>63</v>
      </c>
      <c r="P8" s="9">
        <v>1</v>
      </c>
      <c r="Q8" s="9">
        <v>187</v>
      </c>
    </row>
    <row r="9" spans="1:17" x14ac:dyDescent="0.25">
      <c r="A9" s="11" t="s">
        <v>23</v>
      </c>
      <c r="B9" s="9">
        <v>42441</v>
      </c>
      <c r="C9" s="9">
        <v>47</v>
      </c>
    </row>
    <row r="10" spans="1:17" x14ac:dyDescent="0.25">
      <c r="A10" s="11" t="s">
        <v>45</v>
      </c>
      <c r="B10" s="9">
        <v>2021</v>
      </c>
      <c r="C10" s="9">
        <v>1</v>
      </c>
    </row>
    <row r="11" spans="1:17" x14ac:dyDescent="0.25">
      <c r="A11" s="8" t="s">
        <v>35</v>
      </c>
      <c r="B11" s="9">
        <v>62651</v>
      </c>
      <c r="C11" s="9">
        <v>61</v>
      </c>
    </row>
    <row r="12" spans="1:17" x14ac:dyDescent="0.25">
      <c r="A12" s="11" t="s">
        <v>36</v>
      </c>
      <c r="B12" s="9">
        <v>18189</v>
      </c>
      <c r="C12" s="9">
        <v>20</v>
      </c>
    </row>
    <row r="13" spans="1:17" x14ac:dyDescent="0.25">
      <c r="A13" s="11" t="s">
        <v>58</v>
      </c>
      <c r="B13" s="9">
        <v>12126</v>
      </c>
      <c r="C13" s="9">
        <v>11</v>
      </c>
    </row>
    <row r="14" spans="1:17" x14ac:dyDescent="0.25">
      <c r="A14" s="11" t="s">
        <v>87</v>
      </c>
      <c r="B14" s="9">
        <v>10105</v>
      </c>
      <c r="C14" s="9">
        <v>10</v>
      </c>
    </row>
    <row r="15" spans="1:17" x14ac:dyDescent="0.25">
      <c r="A15" s="11" t="s">
        <v>29</v>
      </c>
      <c r="B15" s="9">
        <v>4042</v>
      </c>
      <c r="C15" s="9">
        <v>4</v>
      </c>
    </row>
    <row r="16" spans="1:17" x14ac:dyDescent="0.25">
      <c r="A16" s="11" t="s">
        <v>23</v>
      </c>
      <c r="B16" s="9">
        <v>18189</v>
      </c>
      <c r="C16" s="9">
        <v>16</v>
      </c>
    </row>
    <row r="17" spans="1:21" x14ac:dyDescent="0.25">
      <c r="A17" s="8" t="s">
        <v>42</v>
      </c>
      <c r="B17" s="9">
        <v>20210</v>
      </c>
      <c r="C17" s="9">
        <v>27</v>
      </c>
    </row>
    <row r="18" spans="1:21" x14ac:dyDescent="0.25">
      <c r="A18" s="11" t="s">
        <v>36</v>
      </c>
      <c r="B18" s="9">
        <v>8084</v>
      </c>
      <c r="C18" s="9">
        <v>11</v>
      </c>
    </row>
    <row r="19" spans="1:21" x14ac:dyDescent="0.25">
      <c r="A19" s="11" t="s">
        <v>87</v>
      </c>
      <c r="B19" s="9">
        <v>6063</v>
      </c>
      <c r="C19" s="9">
        <v>10</v>
      </c>
    </row>
    <row r="20" spans="1:21" x14ac:dyDescent="0.25">
      <c r="A20" s="11" t="s">
        <v>29</v>
      </c>
      <c r="B20" s="9">
        <v>6063</v>
      </c>
      <c r="C20" s="9">
        <v>6</v>
      </c>
    </row>
    <row r="21" spans="1:21" x14ac:dyDescent="0.25">
      <c r="A21" s="8" t="s">
        <v>160</v>
      </c>
      <c r="B21" s="9">
        <v>177848</v>
      </c>
      <c r="C21" s="9">
        <v>187</v>
      </c>
    </row>
    <row r="24" spans="1:21" x14ac:dyDescent="0.25">
      <c r="A24" t="s">
        <v>168</v>
      </c>
      <c r="B24" t="s">
        <v>169</v>
      </c>
      <c r="L24" t="s">
        <v>170</v>
      </c>
    </row>
    <row r="25" spans="1:21" x14ac:dyDescent="0.25">
      <c r="A25" s="14" t="s">
        <v>161</v>
      </c>
      <c r="B25" s="14" t="s">
        <v>162</v>
      </c>
      <c r="C25" s="12"/>
      <c r="D25" s="12"/>
      <c r="E25" s="12"/>
      <c r="F25" s="12"/>
      <c r="G25" s="12"/>
      <c r="H25" s="12"/>
      <c r="I25" s="12"/>
      <c r="J25" s="12"/>
      <c r="L25" s="14" t="s">
        <v>173</v>
      </c>
      <c r="M25" s="14" t="s">
        <v>172</v>
      </c>
      <c r="N25" s="12"/>
      <c r="O25" s="12"/>
      <c r="P25" s="12"/>
      <c r="Q25" s="12"/>
      <c r="R25" s="12"/>
      <c r="S25" s="12"/>
      <c r="T25" s="12"/>
      <c r="U25" s="12"/>
    </row>
    <row r="26" spans="1:21" x14ac:dyDescent="0.25">
      <c r="A26" s="14" t="s">
        <v>159</v>
      </c>
      <c r="B26" s="12" t="s">
        <v>36</v>
      </c>
      <c r="C26" s="12" t="s">
        <v>58</v>
      </c>
      <c r="D26" s="12" t="s">
        <v>87</v>
      </c>
      <c r="E26" s="12" t="s">
        <v>50</v>
      </c>
      <c r="F26" s="12" t="s">
        <v>40</v>
      </c>
      <c r="G26" s="12" t="s">
        <v>29</v>
      </c>
      <c r="H26" s="12" t="s">
        <v>23</v>
      </c>
      <c r="I26" s="12" t="s">
        <v>45</v>
      </c>
      <c r="J26" s="12" t="s">
        <v>160</v>
      </c>
      <c r="L26" s="14" t="s">
        <v>171</v>
      </c>
      <c r="M26" s="12" t="s">
        <v>36</v>
      </c>
      <c r="N26" s="12" t="s">
        <v>58</v>
      </c>
      <c r="O26" s="12" t="s">
        <v>87</v>
      </c>
      <c r="P26" s="12" t="s">
        <v>50</v>
      </c>
      <c r="Q26" s="12" t="s">
        <v>40</v>
      </c>
      <c r="R26" s="12" t="s">
        <v>29</v>
      </c>
      <c r="S26" s="12" t="s">
        <v>23</v>
      </c>
      <c r="T26" s="12" t="s">
        <v>45</v>
      </c>
      <c r="U26" s="12" t="s">
        <v>160</v>
      </c>
    </row>
    <row r="27" spans="1:21" x14ac:dyDescent="0.25">
      <c r="A27" s="12" t="s">
        <v>42</v>
      </c>
      <c r="B27" s="15">
        <v>11</v>
      </c>
      <c r="C27" s="15">
        <v>0</v>
      </c>
      <c r="D27" s="15">
        <v>10</v>
      </c>
      <c r="E27" s="15">
        <v>0</v>
      </c>
      <c r="F27" s="15">
        <v>0</v>
      </c>
      <c r="G27" s="15">
        <v>6</v>
      </c>
      <c r="H27" s="15">
        <v>0</v>
      </c>
      <c r="I27" s="15">
        <v>0</v>
      </c>
      <c r="J27" s="15">
        <v>27</v>
      </c>
      <c r="L27" s="12" t="s">
        <v>42</v>
      </c>
      <c r="M27" s="15">
        <v>11</v>
      </c>
      <c r="N27" s="15">
        <v>0</v>
      </c>
      <c r="O27" s="15">
        <v>10</v>
      </c>
      <c r="P27" s="15">
        <v>0</v>
      </c>
      <c r="Q27" s="15">
        <v>0</v>
      </c>
      <c r="R27" s="15">
        <v>6</v>
      </c>
      <c r="S27" s="15">
        <v>0</v>
      </c>
      <c r="T27" s="15">
        <v>0</v>
      </c>
      <c r="U27" s="15">
        <v>27</v>
      </c>
    </row>
    <row r="28" spans="1:21" x14ac:dyDescent="0.25">
      <c r="A28" s="12" t="s">
        <v>35</v>
      </c>
      <c r="B28" s="15">
        <v>20</v>
      </c>
      <c r="C28" s="15">
        <v>11</v>
      </c>
      <c r="D28" s="15">
        <v>10</v>
      </c>
      <c r="E28" s="15">
        <v>0</v>
      </c>
      <c r="F28" s="15">
        <v>0</v>
      </c>
      <c r="G28" s="15">
        <v>4</v>
      </c>
      <c r="H28" s="15">
        <v>16</v>
      </c>
      <c r="I28" s="15">
        <v>0</v>
      </c>
      <c r="J28" s="15">
        <v>61</v>
      </c>
      <c r="L28" s="12" t="s">
        <v>35</v>
      </c>
      <c r="M28" s="15">
        <v>20</v>
      </c>
      <c r="N28" s="15">
        <v>11</v>
      </c>
      <c r="O28" s="15">
        <v>10</v>
      </c>
      <c r="P28" s="15">
        <v>0</v>
      </c>
      <c r="Q28" s="15">
        <v>0</v>
      </c>
      <c r="R28" s="15">
        <v>4</v>
      </c>
      <c r="S28" s="15">
        <v>16</v>
      </c>
      <c r="T28" s="15">
        <v>0</v>
      </c>
      <c r="U28" s="15">
        <v>61</v>
      </c>
    </row>
    <row r="29" spans="1:21" x14ac:dyDescent="0.25">
      <c r="A29" s="12" t="s">
        <v>21</v>
      </c>
      <c r="B29" s="15">
        <v>32</v>
      </c>
      <c r="C29" s="15">
        <v>0</v>
      </c>
      <c r="D29" s="15">
        <v>0</v>
      </c>
      <c r="E29" s="15">
        <v>13</v>
      </c>
      <c r="F29" s="15">
        <v>2</v>
      </c>
      <c r="G29" s="15">
        <v>4</v>
      </c>
      <c r="H29" s="15">
        <v>47</v>
      </c>
      <c r="I29" s="15">
        <v>1</v>
      </c>
      <c r="J29" s="15">
        <v>99</v>
      </c>
      <c r="L29" s="12" t="s">
        <v>21</v>
      </c>
      <c r="M29" s="15">
        <v>32</v>
      </c>
      <c r="N29" s="15">
        <v>0</v>
      </c>
      <c r="O29" s="15">
        <v>0</v>
      </c>
      <c r="P29" s="15">
        <v>13</v>
      </c>
      <c r="Q29" s="15">
        <v>2</v>
      </c>
      <c r="R29" s="15">
        <v>4</v>
      </c>
      <c r="S29" s="15">
        <v>47</v>
      </c>
      <c r="T29" s="15">
        <v>1</v>
      </c>
      <c r="U29" s="15">
        <v>99</v>
      </c>
    </row>
    <row r="30" spans="1:21" x14ac:dyDescent="0.25">
      <c r="A30" s="12" t="s">
        <v>160</v>
      </c>
      <c r="B30" s="15">
        <v>63</v>
      </c>
      <c r="C30" s="15">
        <v>11</v>
      </c>
      <c r="D30" s="15">
        <v>20</v>
      </c>
      <c r="E30" s="15">
        <v>13</v>
      </c>
      <c r="F30" s="15">
        <v>2</v>
      </c>
      <c r="G30" s="15">
        <v>14</v>
      </c>
      <c r="H30" s="15">
        <v>63</v>
      </c>
      <c r="I30" s="15">
        <v>1</v>
      </c>
      <c r="J30" s="15">
        <v>187</v>
      </c>
      <c r="L30" s="12" t="s">
        <v>160</v>
      </c>
      <c r="M30" s="15">
        <v>63</v>
      </c>
      <c r="N30" s="15">
        <v>11</v>
      </c>
      <c r="O30" s="15">
        <v>20</v>
      </c>
      <c r="P30" s="15">
        <v>13</v>
      </c>
      <c r="Q30" s="15">
        <v>2</v>
      </c>
      <c r="R30" s="15">
        <v>14</v>
      </c>
      <c r="S30" s="15">
        <v>63</v>
      </c>
      <c r="T30" s="15">
        <v>1</v>
      </c>
      <c r="U30" s="15">
        <v>187</v>
      </c>
    </row>
    <row r="32" spans="1:21" x14ac:dyDescent="0.25">
      <c r="A32" s="12" t="s">
        <v>175</v>
      </c>
    </row>
    <row r="33" spans="1:10" x14ac:dyDescent="0.25">
      <c r="A33" s="14" t="s">
        <v>174</v>
      </c>
      <c r="B33" s="14" t="s">
        <v>172</v>
      </c>
      <c r="C33" s="12"/>
      <c r="D33" s="12"/>
      <c r="E33" s="12"/>
      <c r="F33" s="12"/>
      <c r="G33" s="12"/>
      <c r="H33" s="12"/>
      <c r="I33" s="12"/>
      <c r="J33" s="12"/>
    </row>
    <row r="34" spans="1:10" x14ac:dyDescent="0.25">
      <c r="A34" s="14" t="s">
        <v>171</v>
      </c>
      <c r="B34" s="12" t="s">
        <v>36</v>
      </c>
      <c r="C34" s="12" t="s">
        <v>58</v>
      </c>
      <c r="D34" s="12" t="s">
        <v>87</v>
      </c>
      <c r="E34" s="12" t="s">
        <v>50</v>
      </c>
      <c r="F34" s="12" t="s">
        <v>40</v>
      </c>
      <c r="G34" s="12" t="s">
        <v>29</v>
      </c>
      <c r="H34" s="12" t="s">
        <v>23</v>
      </c>
      <c r="I34" s="12" t="s">
        <v>45</v>
      </c>
      <c r="J34" s="12" t="s">
        <v>160</v>
      </c>
    </row>
    <row r="35" spans="1:10" x14ac:dyDescent="0.25">
      <c r="A35" s="12" t="s">
        <v>42</v>
      </c>
      <c r="B35" s="15">
        <v>11</v>
      </c>
      <c r="C35" s="15">
        <v>0</v>
      </c>
      <c r="D35" s="15">
        <v>10</v>
      </c>
      <c r="E35" s="15">
        <v>0</v>
      </c>
      <c r="F35" s="15">
        <v>0</v>
      </c>
      <c r="G35" s="15">
        <v>6</v>
      </c>
      <c r="H35" s="15">
        <v>0</v>
      </c>
      <c r="I35" s="15">
        <v>0</v>
      </c>
      <c r="J35" s="15">
        <v>27</v>
      </c>
    </row>
    <row r="36" spans="1:10" x14ac:dyDescent="0.25">
      <c r="A36" s="12" t="s">
        <v>22</v>
      </c>
      <c r="B36" s="15">
        <v>9</v>
      </c>
      <c r="C36" s="15">
        <v>0</v>
      </c>
      <c r="D36" s="15">
        <v>6</v>
      </c>
      <c r="E36" s="15">
        <v>0</v>
      </c>
      <c r="F36" s="15">
        <v>0</v>
      </c>
      <c r="G36" s="15">
        <v>1</v>
      </c>
      <c r="H36" s="15">
        <v>0</v>
      </c>
      <c r="I36" s="15">
        <v>0</v>
      </c>
      <c r="J36" s="15">
        <v>16</v>
      </c>
    </row>
    <row r="37" spans="1:10" x14ac:dyDescent="0.25">
      <c r="A37" s="12" t="s">
        <v>28</v>
      </c>
      <c r="B37" s="15">
        <v>2</v>
      </c>
      <c r="C37" s="15">
        <v>0</v>
      </c>
      <c r="D37" s="15">
        <v>4</v>
      </c>
      <c r="E37" s="15">
        <v>0</v>
      </c>
      <c r="F37" s="15">
        <v>0</v>
      </c>
      <c r="G37" s="15">
        <v>5</v>
      </c>
      <c r="H37" s="15">
        <v>0</v>
      </c>
      <c r="I37" s="15">
        <v>0</v>
      </c>
      <c r="J37" s="15">
        <v>11</v>
      </c>
    </row>
    <row r="38" spans="1:10" x14ac:dyDescent="0.25">
      <c r="A38" s="12" t="s">
        <v>35</v>
      </c>
      <c r="B38" s="15">
        <v>20</v>
      </c>
      <c r="C38" s="15">
        <v>11</v>
      </c>
      <c r="D38" s="15">
        <v>10</v>
      </c>
      <c r="E38" s="15">
        <v>0</v>
      </c>
      <c r="F38" s="15">
        <v>0</v>
      </c>
      <c r="G38" s="15">
        <v>4</v>
      </c>
      <c r="H38" s="15">
        <v>16</v>
      </c>
      <c r="I38" s="15">
        <v>0</v>
      </c>
      <c r="J38" s="15">
        <v>61</v>
      </c>
    </row>
    <row r="39" spans="1:10" x14ac:dyDescent="0.25">
      <c r="A39" s="12" t="s">
        <v>22</v>
      </c>
      <c r="B39" s="15">
        <v>17</v>
      </c>
      <c r="C39" s="15">
        <v>6</v>
      </c>
      <c r="D39" s="15">
        <v>1</v>
      </c>
      <c r="E39" s="15">
        <v>0</v>
      </c>
      <c r="F39" s="15">
        <v>0</v>
      </c>
      <c r="G39" s="15">
        <v>3</v>
      </c>
      <c r="H39" s="15">
        <v>10</v>
      </c>
      <c r="I39" s="15">
        <v>0</v>
      </c>
      <c r="J39" s="15">
        <v>37</v>
      </c>
    </row>
    <row r="40" spans="1:10" x14ac:dyDescent="0.25">
      <c r="A40" s="12" t="s">
        <v>28</v>
      </c>
      <c r="B40" s="15">
        <v>3</v>
      </c>
      <c r="C40" s="15">
        <v>5</v>
      </c>
      <c r="D40" s="15">
        <v>9</v>
      </c>
      <c r="E40" s="15">
        <v>0</v>
      </c>
      <c r="F40" s="15">
        <v>0</v>
      </c>
      <c r="G40" s="15">
        <v>1</v>
      </c>
      <c r="H40" s="15">
        <v>6</v>
      </c>
      <c r="I40" s="15">
        <v>0</v>
      </c>
      <c r="J40" s="15">
        <v>24</v>
      </c>
    </row>
    <row r="41" spans="1:10" x14ac:dyDescent="0.25">
      <c r="A41" s="12" t="s">
        <v>21</v>
      </c>
      <c r="B41" s="15">
        <v>32</v>
      </c>
      <c r="C41" s="15">
        <v>0</v>
      </c>
      <c r="D41" s="15">
        <v>0</v>
      </c>
      <c r="E41" s="15">
        <v>13</v>
      </c>
      <c r="F41" s="15">
        <v>2</v>
      </c>
      <c r="G41" s="15">
        <v>4</v>
      </c>
      <c r="H41" s="15">
        <v>47</v>
      </c>
      <c r="I41" s="15">
        <v>1</v>
      </c>
      <c r="J41" s="15">
        <v>99</v>
      </c>
    </row>
    <row r="42" spans="1:10" x14ac:dyDescent="0.25">
      <c r="A42" s="12" t="s">
        <v>22</v>
      </c>
      <c r="B42" s="15">
        <v>17</v>
      </c>
      <c r="C42" s="15">
        <v>0</v>
      </c>
      <c r="D42" s="15">
        <v>0</v>
      </c>
      <c r="E42" s="15">
        <v>8</v>
      </c>
      <c r="F42" s="15">
        <v>2</v>
      </c>
      <c r="G42" s="15">
        <v>1</v>
      </c>
      <c r="H42" s="15">
        <v>27</v>
      </c>
      <c r="I42" s="15">
        <v>0</v>
      </c>
      <c r="J42" s="15">
        <v>55</v>
      </c>
    </row>
    <row r="43" spans="1:10" x14ac:dyDescent="0.25">
      <c r="A43" s="12" t="s">
        <v>28</v>
      </c>
      <c r="B43" s="15">
        <v>15</v>
      </c>
      <c r="C43" s="15">
        <v>0</v>
      </c>
      <c r="D43" s="15">
        <v>0</v>
      </c>
      <c r="E43" s="15">
        <v>5</v>
      </c>
      <c r="F43" s="15">
        <v>0</v>
      </c>
      <c r="G43" s="15">
        <v>3</v>
      </c>
      <c r="H43" s="15">
        <v>20</v>
      </c>
      <c r="I43" s="15">
        <v>1</v>
      </c>
      <c r="J43" s="15">
        <v>44</v>
      </c>
    </row>
    <row r="44" spans="1:10" x14ac:dyDescent="0.25">
      <c r="A44" s="12" t="s">
        <v>160</v>
      </c>
      <c r="B44" s="15">
        <v>63</v>
      </c>
      <c r="C44" s="15">
        <v>11</v>
      </c>
      <c r="D44" s="15">
        <v>20</v>
      </c>
      <c r="E44" s="15">
        <v>13</v>
      </c>
      <c r="F44" s="15">
        <v>2</v>
      </c>
      <c r="G44" s="15">
        <v>14</v>
      </c>
      <c r="H44" s="15">
        <v>63</v>
      </c>
      <c r="I44" s="15">
        <v>1</v>
      </c>
      <c r="J44" s="15">
        <v>187</v>
      </c>
    </row>
    <row r="55" spans="1:10" x14ac:dyDescent="0.25">
      <c r="A55" t="s">
        <v>176</v>
      </c>
    </row>
    <row r="56" spans="1:10" x14ac:dyDescent="0.25">
      <c r="A56" s="14" t="s">
        <v>177</v>
      </c>
      <c r="B56" s="14" t="s">
        <v>172</v>
      </c>
      <c r="C56" s="12"/>
      <c r="D56" s="12"/>
      <c r="E56" s="12"/>
      <c r="F56" s="12"/>
      <c r="G56" s="12"/>
      <c r="H56" s="12"/>
      <c r="I56" s="12"/>
      <c r="J56" s="12"/>
    </row>
    <row r="57" spans="1:10" x14ac:dyDescent="0.25">
      <c r="A57" s="14" t="s">
        <v>171</v>
      </c>
      <c r="B57" s="12" t="s">
        <v>36</v>
      </c>
      <c r="C57" s="12" t="s">
        <v>58</v>
      </c>
      <c r="D57" s="12" t="s">
        <v>87</v>
      </c>
      <c r="E57" s="12" t="s">
        <v>50</v>
      </c>
      <c r="F57" s="12" t="s">
        <v>40</v>
      </c>
      <c r="G57" s="12" t="s">
        <v>29</v>
      </c>
      <c r="H57" s="12" t="s">
        <v>23</v>
      </c>
      <c r="I57" s="12" t="s">
        <v>45</v>
      </c>
      <c r="J57" s="12" t="s">
        <v>160</v>
      </c>
    </row>
    <row r="58" spans="1:10" x14ac:dyDescent="0.25">
      <c r="A58" s="12" t="s">
        <v>42</v>
      </c>
      <c r="B58" s="16">
        <v>2755</v>
      </c>
      <c r="C58" s="16">
        <v>0</v>
      </c>
      <c r="D58" s="16">
        <v>10507</v>
      </c>
      <c r="E58" s="16">
        <v>0</v>
      </c>
      <c r="F58" s="16">
        <v>0</v>
      </c>
      <c r="G58" s="16">
        <v>2788</v>
      </c>
      <c r="H58" s="16">
        <v>0</v>
      </c>
      <c r="I58" s="16">
        <v>0</v>
      </c>
      <c r="J58" s="16">
        <v>16050</v>
      </c>
    </row>
    <row r="59" spans="1:10" x14ac:dyDescent="0.25">
      <c r="A59" s="12" t="s">
        <v>22</v>
      </c>
      <c r="B59" s="16">
        <v>2265</v>
      </c>
      <c r="C59" s="16">
        <v>0</v>
      </c>
      <c r="D59" s="16">
        <v>6291</v>
      </c>
      <c r="E59" s="16">
        <v>0</v>
      </c>
      <c r="F59" s="16">
        <v>0</v>
      </c>
      <c r="G59" s="16">
        <v>1043</v>
      </c>
      <c r="H59" s="16">
        <v>0</v>
      </c>
      <c r="I59" s="16">
        <v>0</v>
      </c>
      <c r="J59" s="16">
        <v>9599</v>
      </c>
    </row>
    <row r="60" spans="1:10" x14ac:dyDescent="0.25">
      <c r="A60" s="12" t="s">
        <v>28</v>
      </c>
      <c r="B60" s="16">
        <v>490</v>
      </c>
      <c r="C60" s="16">
        <v>0</v>
      </c>
      <c r="D60" s="16">
        <v>4216</v>
      </c>
      <c r="E60" s="16">
        <v>0</v>
      </c>
      <c r="F60" s="16">
        <v>0</v>
      </c>
      <c r="G60" s="16">
        <v>1745</v>
      </c>
      <c r="H60" s="16">
        <v>0</v>
      </c>
      <c r="I60" s="16">
        <v>0</v>
      </c>
      <c r="J60" s="16">
        <v>6451</v>
      </c>
    </row>
    <row r="61" spans="1:10" x14ac:dyDescent="0.25">
      <c r="A61" s="12" t="s">
        <v>35</v>
      </c>
      <c r="B61" s="16">
        <v>18639</v>
      </c>
      <c r="C61" s="16">
        <v>9123</v>
      </c>
      <c r="D61" s="16">
        <v>10474</v>
      </c>
      <c r="E61" s="16">
        <v>0</v>
      </c>
      <c r="F61" s="16">
        <v>0</v>
      </c>
      <c r="G61" s="16">
        <v>2090</v>
      </c>
      <c r="H61" s="16">
        <v>13636</v>
      </c>
      <c r="I61" s="16">
        <v>0</v>
      </c>
      <c r="J61" s="16">
        <v>53962</v>
      </c>
    </row>
    <row r="62" spans="1:10" x14ac:dyDescent="0.25">
      <c r="A62" s="12" t="s">
        <v>22</v>
      </c>
      <c r="B62" s="16">
        <v>16204</v>
      </c>
      <c r="C62" s="16">
        <v>6302</v>
      </c>
      <c r="D62" s="16">
        <v>1054</v>
      </c>
      <c r="E62" s="16">
        <v>0</v>
      </c>
      <c r="F62" s="16">
        <v>0</v>
      </c>
      <c r="G62" s="16">
        <v>1047</v>
      </c>
      <c r="H62" s="16">
        <v>10952</v>
      </c>
      <c r="I62" s="16">
        <v>0</v>
      </c>
      <c r="J62" s="16">
        <v>35559</v>
      </c>
    </row>
    <row r="63" spans="1:10" x14ac:dyDescent="0.25">
      <c r="A63" s="12" t="s">
        <v>28</v>
      </c>
      <c r="B63" s="16">
        <v>2435</v>
      </c>
      <c r="C63" s="16">
        <v>2821</v>
      </c>
      <c r="D63" s="16">
        <v>9420</v>
      </c>
      <c r="E63" s="16">
        <v>0</v>
      </c>
      <c r="F63" s="16">
        <v>0</v>
      </c>
      <c r="G63" s="16">
        <v>1043</v>
      </c>
      <c r="H63" s="16">
        <v>2684</v>
      </c>
      <c r="I63" s="16">
        <v>0</v>
      </c>
      <c r="J63" s="16">
        <v>18403</v>
      </c>
    </row>
    <row r="64" spans="1:10" x14ac:dyDescent="0.25">
      <c r="A64" s="12" t="s">
        <v>21</v>
      </c>
      <c r="B64" s="16">
        <v>28932</v>
      </c>
      <c r="C64" s="16">
        <v>0</v>
      </c>
      <c r="D64" s="16">
        <v>0</v>
      </c>
      <c r="E64" s="16">
        <v>13636</v>
      </c>
      <c r="F64" s="16">
        <v>2086</v>
      </c>
      <c r="G64" s="16">
        <v>4194</v>
      </c>
      <c r="H64" s="16">
        <v>43605</v>
      </c>
      <c r="I64" s="16">
        <v>1043</v>
      </c>
      <c r="J64" s="16">
        <v>93496</v>
      </c>
    </row>
    <row r="65" spans="1:10" x14ac:dyDescent="0.25">
      <c r="A65" s="12" t="s">
        <v>22</v>
      </c>
      <c r="B65" s="16">
        <v>13276</v>
      </c>
      <c r="C65" s="16">
        <v>0</v>
      </c>
      <c r="D65" s="16">
        <v>0</v>
      </c>
      <c r="E65" s="16">
        <v>8410</v>
      </c>
      <c r="F65" s="16">
        <v>2086</v>
      </c>
      <c r="G65" s="16">
        <v>1043</v>
      </c>
      <c r="H65" s="16">
        <v>27570</v>
      </c>
      <c r="I65" s="16">
        <v>0</v>
      </c>
      <c r="J65" s="16">
        <v>52385</v>
      </c>
    </row>
    <row r="66" spans="1:10" x14ac:dyDescent="0.25">
      <c r="A66" s="12" t="s">
        <v>28</v>
      </c>
      <c r="B66" s="16">
        <v>15656</v>
      </c>
      <c r="C66" s="16">
        <v>0</v>
      </c>
      <c r="D66" s="16">
        <v>0</v>
      </c>
      <c r="E66" s="16">
        <v>5226</v>
      </c>
      <c r="F66" s="16">
        <v>0</v>
      </c>
      <c r="G66" s="16">
        <v>3151</v>
      </c>
      <c r="H66" s="16">
        <v>16035</v>
      </c>
      <c r="I66" s="16">
        <v>1043</v>
      </c>
      <c r="J66" s="16">
        <v>41111</v>
      </c>
    </row>
    <row r="67" spans="1:10" x14ac:dyDescent="0.25">
      <c r="A67" s="12" t="s">
        <v>160</v>
      </c>
      <c r="B67" s="16">
        <v>50326</v>
      </c>
      <c r="C67" s="16">
        <v>9123</v>
      </c>
      <c r="D67" s="16">
        <v>20981</v>
      </c>
      <c r="E67" s="16">
        <v>13636</v>
      </c>
      <c r="F67" s="16">
        <v>2086</v>
      </c>
      <c r="G67" s="16">
        <v>9072</v>
      </c>
      <c r="H67" s="16">
        <v>57241</v>
      </c>
      <c r="I67" s="16">
        <v>1043</v>
      </c>
      <c r="J67" s="16">
        <v>163508</v>
      </c>
    </row>
  </sheetData>
  <mergeCells count="1">
    <mergeCell ref="J2:L2"/>
  </mergeCells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zoomScaleNormal="100" workbookViewId="0">
      <selection activeCell="I6" sqref="I6"/>
    </sheetView>
  </sheetViews>
  <sheetFormatPr defaultRowHeight="15" x14ac:dyDescent="0.25"/>
  <cols>
    <col min="1" max="1" width="13.28515625" bestFit="1" customWidth="1"/>
    <col min="2" max="2" width="11.140625" bestFit="1" customWidth="1"/>
    <col min="3" max="3" width="4.28515625" bestFit="1" customWidth="1"/>
    <col min="4" max="4" width="10.140625" bestFit="1" customWidth="1"/>
    <col min="5" max="5" width="5.28515625" bestFit="1" customWidth="1"/>
    <col min="6" max="6" width="14.140625" bestFit="1" customWidth="1"/>
    <col min="7" max="7" width="19.42578125" style="8" bestFit="1" customWidth="1"/>
    <col min="8" max="8" width="17.5703125" bestFit="1" customWidth="1"/>
    <col min="9" max="9" width="15.42578125" bestFit="1" customWidth="1"/>
    <col min="10" max="10" width="20.28515625" bestFit="1" customWidth="1"/>
    <col min="11" max="11" width="16.85546875" bestFit="1" customWidth="1"/>
    <col min="12" max="12" width="14.85546875" bestFit="1" customWidth="1"/>
    <col min="13" max="13" width="24.7109375" bestFit="1" customWidth="1"/>
    <col min="14" max="14" width="15" bestFit="1" customWidth="1"/>
    <col min="15" max="15" width="10.5703125" bestFit="1" customWidth="1"/>
    <col min="16" max="16" width="11.140625" bestFit="1" customWidth="1"/>
    <col min="17" max="18" width="10.140625" bestFit="1" customWidth="1"/>
    <col min="19" max="19" width="11.14062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44</v>
      </c>
      <c r="G2" s="8" t="s">
        <v>21</v>
      </c>
      <c r="H2" t="s">
        <v>28</v>
      </c>
      <c r="I2" t="s">
        <v>29</v>
      </c>
      <c r="J2" t="s">
        <v>30</v>
      </c>
      <c r="K2" t="s">
        <v>25</v>
      </c>
      <c r="L2" t="s">
        <v>26</v>
      </c>
      <c r="M2" s="5" t="s">
        <v>31</v>
      </c>
      <c r="N2">
        <v>1</v>
      </c>
      <c r="O2" s="2">
        <v>1266</v>
      </c>
      <c r="P2" s="2">
        <v>2320</v>
      </c>
      <c r="Q2" s="2">
        <v>1054</v>
      </c>
      <c r="R2" s="2">
        <f>N2*O2</f>
        <v>1266</v>
      </c>
      <c r="S2" s="2">
        <f>N2*P2</f>
        <v>2320</v>
      </c>
    </row>
    <row r="3" spans="1:19" x14ac:dyDescent="0.25">
      <c r="A3" s="3" t="s">
        <v>157</v>
      </c>
      <c r="B3" s="1">
        <v>44531</v>
      </c>
      <c r="C3">
        <v>1</v>
      </c>
      <c r="D3" t="s">
        <v>20</v>
      </c>
      <c r="E3">
        <v>2021</v>
      </c>
      <c r="F3">
        <v>39</v>
      </c>
      <c r="G3" s="8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s="5" t="s">
        <v>27</v>
      </c>
      <c r="N3">
        <v>4</v>
      </c>
      <c r="O3" s="2">
        <v>1252</v>
      </c>
      <c r="P3" s="2">
        <v>2295</v>
      </c>
      <c r="Q3" s="2">
        <v>4172</v>
      </c>
      <c r="R3" s="2">
        <f>N3*O3</f>
        <v>5008</v>
      </c>
      <c r="S3" s="2">
        <f>N3*P3</f>
        <v>9180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>N4*O4</f>
        <v>840</v>
      </c>
      <c r="S4" s="2">
        <f>N4*P4</f>
        <v>1538</v>
      </c>
    </row>
    <row r="5" spans="1:19" x14ac:dyDescent="0.25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>N5*O5</f>
        <v>420</v>
      </c>
      <c r="S5" s="2">
        <f>N5*P5</f>
        <v>769</v>
      </c>
    </row>
    <row r="6" spans="1:19" x14ac:dyDescent="0.25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>N6*O6</f>
        <v>2504</v>
      </c>
      <c r="S6" s="2">
        <f>N6*P6</f>
        <v>4590</v>
      </c>
    </row>
    <row r="7" spans="1:19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>N7*O7</f>
        <v>1252</v>
      </c>
      <c r="S7" s="2">
        <f>N7*P7</f>
        <v>2295</v>
      </c>
    </row>
    <row r="8" spans="1:19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>N8*O8</f>
        <v>1252</v>
      </c>
      <c r="S8" s="2">
        <f>N8*P8</f>
        <v>2295</v>
      </c>
    </row>
    <row r="9" spans="1:19" x14ac:dyDescent="0.25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>N9*O9</f>
        <v>1680</v>
      </c>
      <c r="S9" s="2">
        <f>N9*P9</f>
        <v>3076</v>
      </c>
    </row>
    <row r="10" spans="1:19" x14ac:dyDescent="0.25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>N10*O10</f>
        <v>5008</v>
      </c>
      <c r="S10" s="2">
        <f>N10*P10</f>
        <v>9180</v>
      </c>
    </row>
    <row r="11" spans="1:19" x14ac:dyDescent="0.25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>N11*O11</f>
        <v>5008</v>
      </c>
      <c r="S11" s="2">
        <f>N11*P11</f>
        <v>9180</v>
      </c>
    </row>
    <row r="12" spans="1:19" x14ac:dyDescent="0.25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>N12*O12</f>
        <v>1266</v>
      </c>
      <c r="S12" s="2">
        <f>N12*P12</f>
        <v>2320</v>
      </c>
    </row>
    <row r="13" spans="1:19" x14ac:dyDescent="0.25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>N13*O13</f>
        <v>1252</v>
      </c>
      <c r="S13" s="2">
        <f>N13*P13</f>
        <v>2295</v>
      </c>
    </row>
    <row r="14" spans="1:19" x14ac:dyDescent="0.25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>N14*O14</f>
        <v>1260</v>
      </c>
      <c r="S14" s="2">
        <f>N14*P14</f>
        <v>2307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>N15*O15</f>
        <v>1252</v>
      </c>
      <c r="S15" s="2">
        <f>N15*P15</f>
        <v>2295</v>
      </c>
    </row>
    <row r="16" spans="1:19" x14ac:dyDescent="0.25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>N16*O16</f>
        <v>1252</v>
      </c>
      <c r="S16" s="2">
        <f>N16*P16</f>
        <v>2295</v>
      </c>
    </row>
    <row r="17" spans="1:19" x14ac:dyDescent="0.25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>N17*O17</f>
        <v>1266</v>
      </c>
      <c r="S17" s="2">
        <f>N17*P17</f>
        <v>2320</v>
      </c>
    </row>
    <row r="18" spans="1:19" x14ac:dyDescent="0.25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>N18*O18</f>
        <v>1680</v>
      </c>
      <c r="S18" s="2">
        <f>N18*P18</f>
        <v>3076</v>
      </c>
    </row>
    <row r="19" spans="1:19" x14ac:dyDescent="0.25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>N19*O19</f>
        <v>2532</v>
      </c>
      <c r="S19" s="2">
        <f>N19*P19</f>
        <v>4640</v>
      </c>
    </row>
    <row r="20" spans="1:19" x14ac:dyDescent="0.25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>N20*O20</f>
        <v>1232</v>
      </c>
      <c r="S20" s="2">
        <f>N20*P20</f>
        <v>2260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>N21*O21</f>
        <v>5064</v>
      </c>
      <c r="S21" s="2">
        <f>N21*P21</f>
        <v>9280</v>
      </c>
    </row>
    <row r="22" spans="1:19" x14ac:dyDescent="0.25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>N22*O22</f>
        <v>2504</v>
      </c>
      <c r="S22" s="2">
        <f>N22*P22</f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>N23*O23</f>
        <v>295</v>
      </c>
      <c r="S23" s="2">
        <f>N23*P23</f>
        <v>540</v>
      </c>
    </row>
    <row r="24" spans="1:19" x14ac:dyDescent="0.25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>N24*O24</f>
        <v>3796</v>
      </c>
      <c r="S24" s="2">
        <f>N24*P24</f>
        <v>6750</v>
      </c>
    </row>
    <row r="25" spans="1:19" x14ac:dyDescent="0.25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>N25*O25</f>
        <v>1266</v>
      </c>
      <c r="S25" s="2">
        <f>N25*P25</f>
        <v>2320</v>
      </c>
    </row>
    <row r="26" spans="1:19" x14ac:dyDescent="0.25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>N26*O26</f>
        <v>2504</v>
      </c>
      <c r="S26" s="2">
        <f>N26*P26</f>
        <v>4590</v>
      </c>
    </row>
    <row r="27" spans="1:19" x14ac:dyDescent="0.25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>N27*O27</f>
        <v>2504</v>
      </c>
      <c r="S27" s="2">
        <f>N27*P27</f>
        <v>4590</v>
      </c>
    </row>
    <row r="28" spans="1:19" x14ac:dyDescent="0.25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>N28*O28</f>
        <v>1252</v>
      </c>
      <c r="S28" s="2">
        <f>N28*P28</f>
        <v>2295</v>
      </c>
    </row>
    <row r="29" spans="1:19" x14ac:dyDescent="0.25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>N29*O29</f>
        <v>295</v>
      </c>
      <c r="S29" s="2">
        <f>N29*P29</f>
        <v>540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>N30*O30</f>
        <v>1912</v>
      </c>
      <c r="S30" s="2">
        <f>N30*P30</f>
        <v>3400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>N31*O31</f>
        <v>1252</v>
      </c>
      <c r="S31" s="2">
        <f>N31*P31</f>
        <v>2295</v>
      </c>
    </row>
    <row r="32" spans="1:19" x14ac:dyDescent="0.25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>N32*O32</f>
        <v>3756</v>
      </c>
      <c r="S32" s="2">
        <f>N32*P32</f>
        <v>6885</v>
      </c>
    </row>
    <row r="33" spans="1:19" x14ac:dyDescent="0.25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>N33*O33</f>
        <v>840</v>
      </c>
      <c r="S33" s="2">
        <f>N33*P33</f>
        <v>1538</v>
      </c>
    </row>
    <row r="34" spans="1:19" x14ac:dyDescent="0.25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>N34*O34</f>
        <v>1252</v>
      </c>
      <c r="S34" s="2">
        <f>N34*P34</f>
        <v>2295</v>
      </c>
    </row>
    <row r="35" spans="1:19" x14ac:dyDescent="0.25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>N35*O35</f>
        <v>420</v>
      </c>
      <c r="S35" s="2">
        <f>N35*P35</f>
        <v>769</v>
      </c>
    </row>
    <row r="36" spans="1:19" x14ac:dyDescent="0.25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>N36*O36</f>
        <v>1266</v>
      </c>
      <c r="S36" s="2">
        <f>N36*P36</f>
        <v>2320</v>
      </c>
    </row>
    <row r="37" spans="1:19" x14ac:dyDescent="0.25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>N37*O37</f>
        <v>5064</v>
      </c>
      <c r="S37" s="2">
        <f>N37*P37</f>
        <v>9280</v>
      </c>
    </row>
    <row r="38" spans="1:19" x14ac:dyDescent="0.25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>N38*O38</f>
        <v>1680</v>
      </c>
      <c r="S38" s="2">
        <f>N38*P38</f>
        <v>3076</v>
      </c>
    </row>
    <row r="39" spans="1:19" x14ac:dyDescent="0.25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>N39*O39</f>
        <v>2504</v>
      </c>
      <c r="S39" s="2">
        <f>N39*P39</f>
        <v>4590</v>
      </c>
    </row>
    <row r="40" spans="1:19" x14ac:dyDescent="0.25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>N40*O40</f>
        <v>1266</v>
      </c>
      <c r="S40" s="2">
        <f>N40*P40</f>
        <v>2320</v>
      </c>
    </row>
    <row r="41" spans="1:19" x14ac:dyDescent="0.25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>N41*O41</f>
        <v>1266</v>
      </c>
      <c r="S41" s="2">
        <f>N41*P41</f>
        <v>2320</v>
      </c>
    </row>
    <row r="42" spans="1:19" x14ac:dyDescent="0.25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>N42*O42</f>
        <v>3798</v>
      </c>
      <c r="S42" s="2">
        <f>N42*P42</f>
        <v>6960</v>
      </c>
    </row>
    <row r="43" spans="1:19" x14ac:dyDescent="0.25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>N43*O43</f>
        <v>308</v>
      </c>
      <c r="S43" s="2">
        <f>N43*P43</f>
        <v>565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>N44*O44</f>
        <v>1252</v>
      </c>
      <c r="S44" s="2">
        <f>N44*P44</f>
        <v>2295</v>
      </c>
    </row>
    <row r="45" spans="1:19" x14ac:dyDescent="0.25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>N45*O45</f>
        <v>1252</v>
      </c>
      <c r="S45" s="2">
        <f>N45*P45</f>
        <v>2295</v>
      </c>
    </row>
    <row r="46" spans="1:19" x14ac:dyDescent="0.25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>N46*O46</f>
        <v>2532</v>
      </c>
      <c r="S46" s="2">
        <f>N46*P46</f>
        <v>4640</v>
      </c>
    </row>
    <row r="47" spans="1:19" x14ac:dyDescent="0.25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>N47*O47</f>
        <v>1252</v>
      </c>
      <c r="S47" s="2">
        <f>N47*P47</f>
        <v>2295</v>
      </c>
    </row>
    <row r="48" spans="1:19" x14ac:dyDescent="0.25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>N48*O48</f>
        <v>420</v>
      </c>
      <c r="S48" s="2">
        <f>N48*P48</f>
        <v>769</v>
      </c>
    </row>
    <row r="49" spans="1:19" x14ac:dyDescent="0.25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>N49*O49</f>
        <v>1266</v>
      </c>
      <c r="S49" s="2">
        <f>N49*P49</f>
        <v>2320</v>
      </c>
    </row>
    <row r="50" spans="1:19" x14ac:dyDescent="0.25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>N50*O50</f>
        <v>2504</v>
      </c>
      <c r="S50" s="2">
        <f>N50*P50</f>
        <v>4590</v>
      </c>
    </row>
    <row r="51" spans="1:19" x14ac:dyDescent="0.25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>N51*O51</f>
        <v>2504</v>
      </c>
      <c r="S51" s="2">
        <f>N51*P51</f>
        <v>4590</v>
      </c>
    </row>
    <row r="52" spans="1:19" x14ac:dyDescent="0.25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>N52*O52</f>
        <v>1266</v>
      </c>
      <c r="S52" s="2">
        <f>N52*P52</f>
        <v>2320</v>
      </c>
    </row>
    <row r="53" spans="1:19" x14ac:dyDescent="0.25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>N53*O53</f>
        <v>2532</v>
      </c>
      <c r="S53" s="2">
        <f>N53*P53</f>
        <v>4640</v>
      </c>
    </row>
    <row r="54" spans="1:19" x14ac:dyDescent="0.25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>N54*O54</f>
        <v>420</v>
      </c>
      <c r="S54" s="2">
        <f>N54*P54</f>
        <v>769</v>
      </c>
    </row>
    <row r="55" spans="1:19" x14ac:dyDescent="0.25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>N55*O55</f>
        <v>1266</v>
      </c>
      <c r="S55" s="2">
        <f>N55*P55</f>
        <v>2320</v>
      </c>
    </row>
    <row r="56" spans="1:19" x14ac:dyDescent="0.25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>N56*O56</f>
        <v>1232</v>
      </c>
      <c r="S56" s="2">
        <f>N56*P56</f>
        <v>2260</v>
      </c>
    </row>
    <row r="57" spans="1:19" x14ac:dyDescent="0.25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>N57*O57</f>
        <v>5064</v>
      </c>
      <c r="S57" s="2">
        <f>N57*P57</f>
        <v>9280</v>
      </c>
    </row>
    <row r="58" spans="1:19" x14ac:dyDescent="0.25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>N58*O58</f>
        <v>3798</v>
      </c>
      <c r="S58" s="2">
        <f>N58*P58</f>
        <v>6960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>N59*O59</f>
        <v>1260</v>
      </c>
      <c r="S59" s="2">
        <f>N59*P59</f>
        <v>2307</v>
      </c>
    </row>
    <row r="60" spans="1:19" x14ac:dyDescent="0.25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>N60*O60</f>
        <v>3756</v>
      </c>
      <c r="S60" s="2">
        <f>N60*P60</f>
        <v>6885</v>
      </c>
    </row>
    <row r="61" spans="1:19" x14ac:dyDescent="0.25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>N61*O61</f>
        <v>1252</v>
      </c>
      <c r="S61" s="2">
        <f>N61*P61</f>
        <v>2295</v>
      </c>
    </row>
    <row r="62" spans="1:19" x14ac:dyDescent="0.25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>N62*O62</f>
        <v>1266</v>
      </c>
      <c r="S62" s="2">
        <f>N62*P62</f>
        <v>2320</v>
      </c>
    </row>
    <row r="63" spans="1:19" x14ac:dyDescent="0.25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>N63*O63</f>
        <v>5064</v>
      </c>
      <c r="S63" s="2">
        <f>N63*P63</f>
        <v>9280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>N64*O64</f>
        <v>1180</v>
      </c>
      <c r="S64" s="2">
        <f>N64*P64</f>
        <v>2160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>N65*O65</f>
        <v>5008</v>
      </c>
      <c r="S65" s="2">
        <f>N65*P65</f>
        <v>9180</v>
      </c>
    </row>
    <row r="66" spans="1:19" x14ac:dyDescent="0.25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>N66*O66</f>
        <v>7592</v>
      </c>
      <c r="S66" s="2">
        <f>N66*P66</f>
        <v>13500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>N67*O67</f>
        <v>5008</v>
      </c>
      <c r="S67" s="2">
        <f>N67*P67</f>
        <v>9180</v>
      </c>
    </row>
    <row r="68" spans="1:19" x14ac:dyDescent="0.25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>N68*O68</f>
        <v>5008</v>
      </c>
      <c r="S68" s="2">
        <f>N68*P68</f>
        <v>9180</v>
      </c>
    </row>
    <row r="69" spans="1:19" x14ac:dyDescent="0.25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>N69*O69</f>
        <v>5008</v>
      </c>
      <c r="S69" s="2">
        <f>N69*P69</f>
        <v>9180</v>
      </c>
    </row>
    <row r="70" spans="1:19" x14ac:dyDescent="0.25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>N70*O70</f>
        <v>590</v>
      </c>
      <c r="S70" s="2">
        <f>N70*P70</f>
        <v>1080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>N71*O71</f>
        <v>2504</v>
      </c>
      <c r="S71" s="2">
        <f>N71*P71</f>
        <v>4590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>N72*O72</f>
        <v>1266</v>
      </c>
      <c r="S72" s="2">
        <f>N72*P72</f>
        <v>2320</v>
      </c>
    </row>
    <row r="73" spans="1:19" x14ac:dyDescent="0.25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>N73*O73</f>
        <v>7592</v>
      </c>
      <c r="S73" s="2">
        <f>N73*P73</f>
        <v>13500</v>
      </c>
    </row>
    <row r="74" spans="1:19" x14ac:dyDescent="0.25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>N74*O74</f>
        <v>5008</v>
      </c>
      <c r="S74" s="2">
        <f>N74*P74</f>
        <v>9180</v>
      </c>
    </row>
    <row r="75" spans="1:19" x14ac:dyDescent="0.25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>N75*O75</f>
        <v>885</v>
      </c>
      <c r="S75" s="2">
        <f>N75*P75</f>
        <v>1620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>N76*O76</f>
        <v>1266</v>
      </c>
      <c r="S76" s="2">
        <f>N76*P76</f>
        <v>2320</v>
      </c>
    </row>
    <row r="77" spans="1:19" x14ac:dyDescent="0.25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>N77*O77</f>
        <v>1266</v>
      </c>
      <c r="S77" s="2">
        <f>N77*P77</f>
        <v>2320</v>
      </c>
    </row>
    <row r="78" spans="1:19" x14ac:dyDescent="0.25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>N78*O78</f>
        <v>3798</v>
      </c>
      <c r="S78" s="2">
        <f>N78*P78</f>
        <v>6960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>N79*O79</f>
        <v>840</v>
      </c>
      <c r="S79" s="2">
        <f>N79*P79</f>
        <v>1538</v>
      </c>
    </row>
    <row r="80" spans="1:19" x14ac:dyDescent="0.25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>N80*O80</f>
        <v>3798</v>
      </c>
      <c r="S80" s="2">
        <f>N80*P80</f>
        <v>6960</v>
      </c>
    </row>
    <row r="81" spans="1:19" x14ac:dyDescent="0.25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>N81*O81</f>
        <v>3756</v>
      </c>
      <c r="S81" s="2">
        <f>N81*P81</f>
        <v>6885</v>
      </c>
    </row>
    <row r="82" spans="1:19" x14ac:dyDescent="0.25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>N82*O82</f>
        <v>308</v>
      </c>
      <c r="S82" s="2">
        <f>N82*P82</f>
        <v>565</v>
      </c>
    </row>
    <row r="83" spans="1:19" x14ac:dyDescent="0.25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>N83*O83</f>
        <v>1252</v>
      </c>
      <c r="S83" s="2">
        <f>N83*P83</f>
        <v>2295</v>
      </c>
    </row>
    <row r="84" spans="1:19" x14ac:dyDescent="0.25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>N84*O84</f>
        <v>1252</v>
      </c>
      <c r="S84" s="2">
        <f>N84*P84</f>
        <v>2295</v>
      </c>
    </row>
    <row r="85" spans="1:19" x14ac:dyDescent="0.25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>N85*O85</f>
        <v>1266</v>
      </c>
      <c r="S85" s="2">
        <f>N85*P85</f>
        <v>2320</v>
      </c>
    </row>
    <row r="86" spans="1:19" x14ac:dyDescent="0.25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>N86*O86</f>
        <v>1266</v>
      </c>
      <c r="S86" s="2">
        <f>N86*P86</f>
        <v>2320</v>
      </c>
    </row>
    <row r="87" spans="1:19" x14ac:dyDescent="0.25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>N87*O87</f>
        <v>1252</v>
      </c>
      <c r="S87" s="2">
        <f>N87*P87</f>
        <v>2295</v>
      </c>
    </row>
    <row r="88" spans="1:19" x14ac:dyDescent="0.25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>N88*O88</f>
        <v>295</v>
      </c>
      <c r="S88" s="2">
        <f>N88*P88</f>
        <v>540</v>
      </c>
    </row>
    <row r="89" spans="1:19" x14ac:dyDescent="0.25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>N89*O89</f>
        <v>5008</v>
      </c>
      <c r="S89" s="2">
        <f>N89*P89</f>
        <v>9180</v>
      </c>
    </row>
  </sheetData>
  <sortState ref="A2:S89">
    <sortCondition ref="A2"/>
  </sortState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5A197-E6BA-450D-B171-3C9117E06810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ef7ae401-bd17-41a5-97cb-ef653218410e"/>
    <ds:schemaRef ds:uri="6cf0ffbd-cd96-4ba4-bd4f-bd34e840984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2026-03-13T00:50:08Z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