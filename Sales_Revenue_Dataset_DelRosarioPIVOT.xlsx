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COMLAB\Downloads\"/>
    </mc:Choice>
  </mc:AlternateContent>
  <bookViews>
    <workbookView xWindow="0" yWindow="0" windowWidth="28800" windowHeight="12300" tabRatio="724" activeTab="1"/>
  </bookViews>
  <sheets>
    <sheet name="Analysis_dim" sheetId="10" r:id="rId1"/>
    <sheet name="Dashi Board" sheetId="15" r:id="rId2"/>
    <sheet name="payment_dim" sheetId="3" r:id="rId3"/>
    <sheet name="state_dim" sheetId="6" r:id="rId4"/>
    <sheet name="dept_dim" sheetId="5" r:id="rId5"/>
    <sheet name="client_dim" sheetId="4" r:id="rId6"/>
    <sheet name="revenue_fact" sheetId="7" r:id="rId7"/>
    <sheet name="Dirty Data" sheetId="2" r:id="rId8"/>
  </sheets>
  <definedNames>
    <definedName name="_xlcn.WorksheetConnection_Sales_Revenue_Dataset_DelRosario.xlsxclient_dim1" hidden="1">client_dim[]</definedName>
    <definedName name="_xlcn.WorksheetConnection_Sales_Revenue_Dataset_DelRosario.xlsxdept_dim1" hidden="1">dept_dim[]</definedName>
    <definedName name="_xlcn.WorksheetConnection_Sales_Revenue_Dataset_DelRosario.xlsxpayment_dim1" hidden="1">payment_dim[]</definedName>
    <definedName name="_xlcn.WorksheetConnection_Sales_Revenue_Dataset_DelRosario.xlsxrevenue_fact1" hidden="1">revenue_fact[]</definedName>
    <definedName name="_xlcn.WorksheetConnection_Sales_Revenue_Dataset_DelRosario.xlsxstate_dim1" hidden="1">state_dim[]</definedName>
    <definedName name="p1_tot_rev">#REF!</definedName>
    <definedName name="Slicer_State">#N/A</definedName>
    <definedName name="Timeline_Date">#N/A</definedName>
  </definedNames>
  <calcPr calcId="162913"/>
  <pivotCaches>
    <pivotCache cacheId="1005" r:id="rId9"/>
    <pivotCache cacheId="1008" r:id="rId10"/>
    <pivotCache cacheId="1011" r:id="rId11"/>
    <pivotCache cacheId="1014" r:id="rId12"/>
    <pivotCache cacheId="1017" r:id="rId13"/>
    <pivotCache cacheId="1020" r:id="rId14"/>
    <pivotCache cacheId="1023" r:id="rId15"/>
    <pivotCache cacheId="1026" r:id="rId16"/>
    <pivotCache cacheId="1029" r:id="rId17"/>
  </pivotCaches>
  <extLst>
    <ext xmlns:x14="http://schemas.microsoft.com/office/spreadsheetml/2009/9/main" uri="{876F7934-8845-4945-9796-88D515C7AA90}">
      <x14:pivotCaches>
        <pivotCache cacheId="35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40"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te_dim" name="state_dim" connection="WorksheetConnection_Sales_Revenue_Dataset_DelRosario.xlsx!state_dim"/>
          <x15:modelTable id="revenue_fact" name="revenue_fact" connection="WorksheetConnection_Sales_Revenue_Dataset_DelRosario.xlsx!revenue_fact"/>
          <x15:modelTable id="payment_dim" name="payment_dim" connection="WorksheetConnection_Sales_Revenue_Dataset_DelRosario.xlsx!payment_dim"/>
          <x15:modelTable id="dept_dim" name="dept_dim" connection="WorksheetConnection_Sales_Revenue_Dataset_DelRosario.xlsx!dept_dim"/>
          <x15:modelTable id="client_dim" name="client_dim" connection="WorksheetConnection_Sales_Revenue_Dataset_DelRosario.xlsx!client_dim"/>
        </x15:modelTables>
        <x15:modelRelationships>
          <x15:modelRelationship fromTable="revenue_fact" fromColumn="Client_id" toTable="client_dim" toColumn="Client_id"/>
          <x15:modelRelationship fromTable="revenue_fact" fromColumn="Department_id" toTable="dept_dim" toColumn="Dept_id"/>
          <x15:modelRelationship fromTable="revenue_fact" fromColumn="Payment_id" toTable="payment_dim" toColumn="Payment_id"/>
          <x15:modelRelationship fromTable="revenue_fact" fromColumn="State_id" toTable="state_dim" toColumn="State_id"/>
        </x15:modelRelationships>
        <x15:extLst>
          <ext xmlns:x16="http://schemas.microsoft.com/office/spreadsheetml/2014/11/main" uri="{9835A34E-60A6-4A7C-AAB8-D5F71C897F49}">
            <x16:modelTimeGroupings>
              <x16:modelTimeGrouping tableName="revenue_fact"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5" l="1"/>
  <c r="C6" i="15"/>
  <c r="J5" i="15"/>
  <c r="H5" i="15"/>
  <c r="I6" i="2" l="1"/>
  <c r="I22" i="2" l="1"/>
  <c r="I21" i="2"/>
  <c r="I33" i="2"/>
  <c r="I32" i="2"/>
  <c r="I31" i="2"/>
  <c r="I30" i="2"/>
  <c r="I29" i="2"/>
  <c r="I28" i="2"/>
  <c r="I27" i="2"/>
  <c r="I26" i="2"/>
  <c r="I25" i="2"/>
  <c r="I24" i="2"/>
  <c r="I23" i="2"/>
  <c r="I20" i="2"/>
  <c r="I19" i="2"/>
  <c r="I18" i="2"/>
  <c r="I17" i="2"/>
  <c r="I16" i="2"/>
  <c r="I15" i="2"/>
  <c r="I14" i="2"/>
  <c r="I13" i="2"/>
  <c r="I12" i="2"/>
  <c r="I11" i="2"/>
  <c r="I10" i="2"/>
  <c r="I9" i="2"/>
  <c r="I8" i="2"/>
  <c r="I7" i="2"/>
  <c r="I5" i="2"/>
  <c r="I4" i="2"/>
  <c r="I3" i="2"/>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les_Revenue_Dataset_DelRosario.xlsx!client_dim" type="102" refreshedVersion="6" minRefreshableVersion="5">
    <extLst>
      <ext xmlns:x15="http://schemas.microsoft.com/office/spreadsheetml/2010/11/main" uri="{DE250136-89BD-433C-8126-D09CA5730AF9}">
        <x15:connection id="client_dim">
          <x15:rangePr sourceName="_xlcn.WorksheetConnection_Sales_Revenue_Dataset_DelRosario.xlsxclient_dim1"/>
        </x15:connection>
      </ext>
    </extLst>
  </connection>
  <connection id="3" name="WorksheetConnection_Sales_Revenue_Dataset_DelRosario.xlsx!dept_dim" type="102" refreshedVersion="6" minRefreshableVersion="5">
    <extLst>
      <ext xmlns:x15="http://schemas.microsoft.com/office/spreadsheetml/2010/11/main" uri="{DE250136-89BD-433C-8126-D09CA5730AF9}">
        <x15:connection id="dept_dim">
          <x15:rangePr sourceName="_xlcn.WorksheetConnection_Sales_Revenue_Dataset_DelRosario.xlsxdept_dim1"/>
        </x15:connection>
      </ext>
    </extLst>
  </connection>
  <connection id="4" name="WorksheetConnection_Sales_Revenue_Dataset_DelRosario.xlsx!payment_dim" type="102" refreshedVersion="6" minRefreshableVersion="5">
    <extLst>
      <ext xmlns:x15="http://schemas.microsoft.com/office/spreadsheetml/2010/11/main" uri="{DE250136-89BD-433C-8126-D09CA5730AF9}">
        <x15:connection id="payment_dim">
          <x15:rangePr sourceName="_xlcn.WorksheetConnection_Sales_Revenue_Dataset_DelRosario.xlsxpayment_dim1"/>
        </x15:connection>
      </ext>
    </extLst>
  </connection>
  <connection id="5" name="WorksheetConnection_Sales_Revenue_Dataset_DelRosario.xlsx!revenue_fact" type="102" refreshedVersion="6" minRefreshableVersion="5">
    <extLst>
      <ext xmlns:x15="http://schemas.microsoft.com/office/spreadsheetml/2010/11/main" uri="{DE250136-89BD-433C-8126-D09CA5730AF9}">
        <x15:connection id="revenue_fact">
          <x15:rangePr sourceName="_xlcn.WorksheetConnection_Sales_Revenue_Dataset_DelRosario.xlsxrevenue_fact1"/>
        </x15:connection>
      </ext>
    </extLst>
  </connection>
  <connection id="6" name="WorksheetConnection_Sales_Revenue_Dataset_DelRosario.xlsx!state_dim" type="102" refreshedVersion="6" minRefreshableVersion="5">
    <extLst>
      <ext xmlns:x15="http://schemas.microsoft.com/office/spreadsheetml/2010/11/main" uri="{DE250136-89BD-433C-8126-D09CA5730AF9}">
        <x15:connection id="state_dim">
          <x15:rangePr sourceName="_xlcn.WorksheetConnection_Sales_Revenue_Dataset_DelRosario.xlsxstate_dim1"/>
        </x15:connection>
      </ext>
    </extLst>
  </connection>
</connections>
</file>

<file path=xl/sharedStrings.xml><?xml version="1.0" encoding="utf-8"?>
<sst xmlns="http://schemas.openxmlformats.org/spreadsheetml/2006/main" count="468" uniqueCount="267">
  <si>
    <t>Date</t>
  </si>
  <si>
    <t>Contact</t>
  </si>
  <si>
    <t>Revenue</t>
  </si>
  <si>
    <t>Profit</t>
  </si>
  <si>
    <t>Profit Margin</t>
  </si>
  <si>
    <t>Client</t>
  </si>
  <si>
    <t>Department</t>
  </si>
  <si>
    <t>AMAZON.COM, INC. (XNAS:AMZN)</t>
  </si>
  <si>
    <t>TESLA, INC. (XNAS:TSLA)</t>
  </si>
  <si>
    <t>NETFLIX, INC. (XNAS:NFLX)</t>
  </si>
  <si>
    <t>THE PROCTER &amp; GAMBLE COMPANY (XNYS:PG)</t>
  </si>
  <si>
    <t>THE GOLDMAN SACHS GROUP, INC. (XNYS:GS)</t>
  </si>
  <si>
    <t>JPMORGAN CHASE &amp; CO. (XNYS:JPM)</t>
  </si>
  <si>
    <t>MORGAN STANLEY (XNYS:MS)</t>
  </si>
  <si>
    <t>CITIGROUP INC. (XNYS:C)</t>
  </si>
  <si>
    <t>BANK OF AMERICA CORPORATION (XNYS:BAC)</t>
  </si>
  <si>
    <t>WALMART INC. (XNYS:WMT)</t>
  </si>
  <si>
    <t>TARGET CORPORATION (XNYS:TGT)</t>
  </si>
  <si>
    <t>COSTCO WHOLESALE CORPORATION (XNAS:COST)</t>
  </si>
  <si>
    <t>MCDONALD'S CORPORATION (XNYS:MCD)</t>
  </si>
  <si>
    <t>EXXON MOBIL CORPORATION (XNYS:XOM)</t>
  </si>
  <si>
    <t>VERIZON COMMUNICATIONS INC. (XNYS:VZ)</t>
  </si>
  <si>
    <t>THE HOME DEPOT, INC. (XNYS:HD)</t>
  </si>
  <si>
    <t>CISCO SYSTEMS, INC. (XNAS:CSCO)</t>
  </si>
  <si>
    <t>CHEVRON CORPORATION (XNYS:CVX)</t>
  </si>
  <si>
    <t>AT&amp;T INC. (XNYS:T)</t>
  </si>
  <si>
    <t>INTEL CORPORATION (XNAS:INTC)</t>
  </si>
  <si>
    <t>GENERAL MOTORS COMPANY (XNYS:GM)</t>
  </si>
  <si>
    <t>MICROSOFT CORPORATION (XNAS:MSFT)</t>
  </si>
  <si>
    <t>COMCAST CORPORATION (XNAS:CMCSA)</t>
  </si>
  <si>
    <t>DELL TECHNOLOGIES INC. (XNYS:DELL)</t>
  </si>
  <si>
    <t>JOHNSON &amp; JOHNSON (XNYS:JNJ)</t>
  </si>
  <si>
    <t>FEDEX CORPORATION (XNYS:FDX)</t>
  </si>
  <si>
    <t>GENERAL ELECTRIC COMPANY (XNYS:GE)</t>
  </si>
  <si>
    <t>LOCKHEED MARTIN CORPORATION (XNYS:LMT)</t>
  </si>
  <si>
    <t>Nyla Novak</t>
  </si>
  <si>
    <t>Kylee Townsend</t>
  </si>
  <si>
    <t>Nora Rollins</t>
  </si>
  <si>
    <t>Lucia Mckay</t>
  </si>
  <si>
    <t>Mik Naam</t>
  </si>
  <si>
    <t xml:space="preserve">     Bill SmITH</t>
  </si>
  <si>
    <t>KEN Singh</t>
  </si>
  <si>
    <t xml:space="preserve">  Harley        Fritz</t>
  </si>
  <si>
    <t>David    Rasmussen</t>
  </si>
  <si>
    <t>IVAN HINEY</t>
  </si>
  <si>
    <t>JONha Ma</t>
  </si>
  <si>
    <t xml:space="preserve">     Jordan Boone</t>
  </si>
  <si>
    <t>Payment</t>
  </si>
  <si>
    <t>Card</t>
  </si>
  <si>
    <t>PayPal</t>
  </si>
  <si>
    <t>Check</t>
  </si>
  <si>
    <t>Transfer</t>
  </si>
  <si>
    <t>BRENDAN Wallace</t>
  </si>
  <si>
    <t xml:space="preserve">     Conor Wise</t>
  </si>
  <si>
    <t>Steven     MIChael</t>
  </si>
  <si>
    <t>JoSE   Roach</t>
  </si>
  <si>
    <t>Franklin WRIGT</t>
  </si>
  <si>
    <t xml:space="preserve">   Alia       Thornton</t>
  </si>
  <si>
    <t>Denzel        Flores</t>
  </si>
  <si>
    <t>Bruno CordOVA</t>
  </si>
  <si>
    <t>jaylynn   napp</t>
  </si>
  <si>
    <t>Bruce RICH</t>
  </si>
  <si>
    <t xml:space="preserve">     Arturo Moore</t>
  </si>
  <si>
    <t>Bryce     Carpenter</t>
  </si>
  <si>
    <t>Jaidyn ANDERSEN</t>
  </si>
  <si>
    <t>MARK WALM</t>
  </si>
  <si>
    <t>HARRY LEE</t>
  </si>
  <si>
    <t>JOSH JOHNSON</t>
  </si>
  <si>
    <t>Cloud Tech_Texas</t>
  </si>
  <si>
    <t>Strategy_New York</t>
  </si>
  <si>
    <t>Operations_Florida</t>
  </si>
  <si>
    <t>Big Data_California</t>
  </si>
  <si>
    <t xml:space="preserve">AMAZON.COM, INC.  </t>
  </si>
  <si>
    <t xml:space="preserve">TESLA, INC.  </t>
  </si>
  <si>
    <t xml:space="preserve">NETFLIX, INC.  </t>
  </si>
  <si>
    <t xml:space="preserve">THE PROCTER &amp; GAMBLE COMPANY  </t>
  </si>
  <si>
    <t xml:space="preserve">THE GOLDMAN SACHS GROUP, INC.  </t>
  </si>
  <si>
    <t xml:space="preserve">JPMORGAN CHASE &amp; CO.  </t>
  </si>
  <si>
    <t xml:space="preserve">MORGAN STANLEY  </t>
  </si>
  <si>
    <t xml:space="preserve">CITIGROUP INC.  </t>
  </si>
  <si>
    <t xml:space="preserve">BANK OF AMERICA CORPORATION  </t>
  </si>
  <si>
    <t xml:space="preserve">WALMART INC.  </t>
  </si>
  <si>
    <t xml:space="preserve">TARGET CORPORATION  </t>
  </si>
  <si>
    <t xml:space="preserve">COSTCO WHOLESALE CORPORATION  </t>
  </si>
  <si>
    <t xml:space="preserve">MCDONALD'S CORPORATION  </t>
  </si>
  <si>
    <t xml:space="preserve">EXXON MOBIL CORPORATION  </t>
  </si>
  <si>
    <t xml:space="preserve">VERIZON COMMUNICATIONS INC.  </t>
  </si>
  <si>
    <t xml:space="preserve">THE HOME DEPOT, INC.  </t>
  </si>
  <si>
    <t xml:space="preserve">CISCO SYSTEMS, INC.  </t>
  </si>
  <si>
    <t xml:space="preserve">CHEVRON CORPORATION  </t>
  </si>
  <si>
    <t xml:space="preserve">AT&amp;T INC.  </t>
  </si>
  <si>
    <t xml:space="preserve">INTEL CORPORATION  </t>
  </si>
  <si>
    <t xml:space="preserve">GENERAL MOTORS COMPANY  </t>
  </si>
  <si>
    <t xml:space="preserve">MICROSOFT CORPORATION  </t>
  </si>
  <si>
    <t xml:space="preserve">COMCAST CORPORATION  </t>
  </si>
  <si>
    <t xml:space="preserve">DELL TECHNOLOGIES INC.  </t>
  </si>
  <si>
    <t xml:space="preserve">JOHNSON &amp; JOHNSON  </t>
  </si>
  <si>
    <t xml:space="preserve">FEDEX CORPORATION  </t>
  </si>
  <si>
    <t xml:space="preserve">GENERAL ELECTRIC COMPANY  </t>
  </si>
  <si>
    <t xml:space="preserve">LOCKHEED MARTIN CORPORATION  </t>
  </si>
  <si>
    <t>First Name</t>
  </si>
  <si>
    <t>Last Name</t>
  </si>
  <si>
    <t>Bill</t>
  </si>
  <si>
    <t>Smith</t>
  </si>
  <si>
    <t>Ken</t>
  </si>
  <si>
    <t>Singh</t>
  </si>
  <si>
    <t>Harley</t>
  </si>
  <si>
    <t>Fritz</t>
  </si>
  <si>
    <t>Nyla</t>
  </si>
  <si>
    <t>Novak</t>
  </si>
  <si>
    <t>David</t>
  </si>
  <si>
    <t>Rasmussen</t>
  </si>
  <si>
    <t>Ivan</t>
  </si>
  <si>
    <t>Hiney</t>
  </si>
  <si>
    <t>Jonha</t>
  </si>
  <si>
    <t>Ma</t>
  </si>
  <si>
    <t>Jordan</t>
  </si>
  <si>
    <t>Boone</t>
  </si>
  <si>
    <t>Kylee</t>
  </si>
  <si>
    <t>Townsend</t>
  </si>
  <si>
    <t>Nora</t>
  </si>
  <si>
    <t>Rollins</t>
  </si>
  <si>
    <t>Brendan</t>
  </si>
  <si>
    <t>Wallace</t>
  </si>
  <si>
    <t>Conor</t>
  </si>
  <si>
    <t>Wise</t>
  </si>
  <si>
    <t>Steven</t>
  </si>
  <si>
    <t>Michael</t>
  </si>
  <si>
    <t>Lucia</t>
  </si>
  <si>
    <t>Mckay</t>
  </si>
  <si>
    <t>Jose</t>
  </si>
  <si>
    <t>Roach</t>
  </si>
  <si>
    <t>Franklin</t>
  </si>
  <si>
    <t>Wrigt</t>
  </si>
  <si>
    <t>Alia</t>
  </si>
  <si>
    <t>Thornton</t>
  </si>
  <si>
    <t>Denzel</t>
  </si>
  <si>
    <t>Flores</t>
  </si>
  <si>
    <t>Bruno</t>
  </si>
  <si>
    <t>Cordova</t>
  </si>
  <si>
    <t>Jaylynn</t>
  </si>
  <si>
    <t>Napp</t>
  </si>
  <si>
    <t>Bruce</t>
  </si>
  <si>
    <t>Rich</t>
  </si>
  <si>
    <t>Arturo</t>
  </si>
  <si>
    <t>Moore</t>
  </si>
  <si>
    <t>Bryce</t>
  </si>
  <si>
    <t>Carpenter</t>
  </si>
  <si>
    <t>Jaidyn</t>
  </si>
  <si>
    <t>Andersen</t>
  </si>
  <si>
    <t>Mark</t>
  </si>
  <si>
    <t>Walm</t>
  </si>
  <si>
    <t>Harry</t>
  </si>
  <si>
    <t>Lee</t>
  </si>
  <si>
    <t>Josh</t>
  </si>
  <si>
    <t>Johnson</t>
  </si>
  <si>
    <t>Mik</t>
  </si>
  <si>
    <t>Naam</t>
  </si>
  <si>
    <t>State</t>
  </si>
  <si>
    <t>Cloud Tech</t>
  </si>
  <si>
    <t>Texas</t>
  </si>
  <si>
    <t>Strategy</t>
  </si>
  <si>
    <t>New York</t>
  </si>
  <si>
    <t>Operations</t>
  </si>
  <si>
    <t>Florida</t>
  </si>
  <si>
    <t>Big Data</t>
  </si>
  <si>
    <t>California</t>
  </si>
  <si>
    <t>Other</t>
  </si>
  <si>
    <t>Client_id</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</si>
  <si>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</si>
  <si>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</si>
  <si>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</si>
  <si>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</si>
  <si>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</si>
  <si>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</si>
  <si>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</si>
  <si>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</si>
  <si>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</si>
  <si>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</si>
  <si>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</si>
  <si>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</si>
  <si>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</si>
  <si>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</si>
  <si>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</si>
  <si>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</si>
  <si>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</si>
  <si>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</si>
  <si>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</si>
  <si>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</si>
  <si>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</si>
  <si>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</si>
  <si>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</si>
  <si>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</si>
  <si>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</si>
  <si>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</si>
  <si>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</si>
  <si>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</si>
  <si>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Dept_id</t>
  </si>
  <si>
    <t>State_id</t>
  </si>
  <si>
    <t>Transac_Id</t>
  </si>
  <si>
    <t>TR_101</t>
  </si>
  <si>
    <t>TR_102</t>
  </si>
  <si>
    <t>TR_103</t>
  </si>
  <si>
    <t>TR_104</t>
  </si>
  <si>
    <t>TR_105</t>
  </si>
  <si>
    <t>TR_106</t>
  </si>
  <si>
    <t>TR_107</t>
  </si>
  <si>
    <t>TR_108</t>
  </si>
  <si>
    <t>TR_109</t>
  </si>
  <si>
    <t>TR_110</t>
  </si>
  <si>
    <t>TR_111</t>
  </si>
  <si>
    <t>TR_112</t>
  </si>
  <si>
    <t>TR_113</t>
  </si>
  <si>
    <t>TR_114</t>
  </si>
  <si>
    <t>TR_115</t>
  </si>
  <si>
    <t>TR_116</t>
  </si>
  <si>
    <t>TR_117</t>
  </si>
  <si>
    <t>TR_118</t>
  </si>
  <si>
    <t>TR_119</t>
  </si>
  <si>
    <t>TR_120</t>
  </si>
  <si>
    <t>TR_121</t>
  </si>
  <si>
    <t>TR_122</t>
  </si>
  <si>
    <t>TR_123</t>
  </si>
  <si>
    <t>TR_124</t>
  </si>
  <si>
    <t>TR_125</t>
  </si>
  <si>
    <t>TR_126</t>
  </si>
  <si>
    <t>TR_127</t>
  </si>
  <si>
    <t>TR_128</t>
  </si>
  <si>
    <t>Payment_id</t>
  </si>
  <si>
    <t>Department_id</t>
  </si>
  <si>
    <t>P-101</t>
  </si>
  <si>
    <t>P-102</t>
  </si>
  <si>
    <t>P-103</t>
  </si>
  <si>
    <t>P-104</t>
  </si>
  <si>
    <t>P-105</t>
  </si>
  <si>
    <t>D-101</t>
  </si>
  <si>
    <t>D-102</t>
  </si>
  <si>
    <t>D-103</t>
  </si>
  <si>
    <t>D-104</t>
  </si>
  <si>
    <t>S-101</t>
  </si>
  <si>
    <t>S-102</t>
  </si>
  <si>
    <t>S-103</t>
  </si>
  <si>
    <t>S-104</t>
  </si>
  <si>
    <t>TR-129</t>
  </si>
  <si>
    <t>Sum of Revenue</t>
  </si>
  <si>
    <t>Sum of Profit</t>
  </si>
  <si>
    <t>Average of Profit Margin</t>
  </si>
  <si>
    <t>1. Total Revenue</t>
  </si>
  <si>
    <t>2. Total Profit</t>
  </si>
  <si>
    <t>Average of Profit</t>
  </si>
  <si>
    <t>3. Average of Profit</t>
  </si>
  <si>
    <t>3-1 Average Profit Margin</t>
  </si>
  <si>
    <t>Row Labels</t>
  </si>
  <si>
    <t>Grand Total</t>
  </si>
  <si>
    <t>4. State with the Highest Revenue</t>
  </si>
  <si>
    <t>Total of Revenue</t>
  </si>
  <si>
    <t>MCDONALD'S CORPORATION</t>
  </si>
  <si>
    <t>5- State with Client Revenue</t>
  </si>
  <si>
    <t>5.TOP 5 Clients</t>
  </si>
  <si>
    <t>Client Revenue</t>
  </si>
  <si>
    <t>6. Display the month with the highest revenue</t>
  </si>
  <si>
    <t>May</t>
  </si>
  <si>
    <t>Total of Profit</t>
  </si>
  <si>
    <t>Months</t>
  </si>
  <si>
    <t>SALES DASHBOARD FOR COMPANY A</t>
  </si>
  <si>
    <t>SALES DASH BOARD FOR COMPANY A</t>
  </si>
  <si>
    <t>5.StateREv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</si>
</sst>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quot;$&quot;#,##0_);[Red]\(&quot;$&quot;#,##0\)"/>
    <numFmt numFmtId="165" formatCode="0.0%"/>
    <numFmt numFmtId="166" formatCode="mm/dd/yyyy;@"/>
    <numFmt numFmtId="167" formatCode="[$$-409]#,##0;[Red][$$-409]#,##0"/>
    <numFmt numFmtId="168" formatCode="&quot;$&quot;#,##0.00_);[Red]\(&quot;$&quot;#,##0.00\)"/>
    <numFmt numFmtId="169" formatCode="[$$-409]#,##0.00"/>
    <numFmt numFmtId="176" formatCode="_-[$$-409]* #,##0.00_ ;_-[$$-409]* \-#,##0.00\ ;_-[$$-409]* &quot;-&quot;??_ ;_-@_ "/>
    <numFmt numFmtId="178" formatCode="[$$-409]#,##0"/>
  </numFmts>
  <fonts count="8" x14ac:knownFonts="1">
    <font>
      <sz val="12"/>
      <color theme="1"/>
      <name val="Calibri"/>
      <family val="2"/>
      <scheme val="minor"/>
    </font>
    <font>
      <sz val="12"/>
      <color theme="1"/>
      <name val="Calibri"/>
      <family val="2"/>
      <scheme val="minor"/>
    </font>
    <font>
      <b/>
      <sz val="18"/>
      <color theme="1"/>
      <name val="Calibri"/>
      <family val="2"/>
      <scheme val="minor"/>
    </font>
    <font>
      <sz val="12"/>
      <color theme="1"/>
      <name val="Calibri"/>
      <scheme val="minor"/>
    </font>
    <font>
      <b/>
      <sz val="18"/>
      <name val="Calibri"/>
      <family val="2"/>
      <scheme val="minor"/>
    </font>
    <font>
      <sz val="12"/>
      <color rgb="FFFF0000"/>
      <name val="Calibri"/>
      <family val="2"/>
      <scheme val="minor"/>
    </font>
    <font>
      <sz val="28"/>
      <color theme="1"/>
      <name val="Calibri"/>
      <family val="2"/>
      <scheme val="minor"/>
    </font>
    <font>
      <b/>
      <sz val="48"/>
      <color theme="1"/>
      <name val="Berlin Sans FB Demi"/>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249977111117893"/>
        <bgColor indexed="64"/>
      </patternFill>
    </fill>
    <fill>
      <patternFill patternType="solid">
        <fgColor theme="1" tint="0.3499862666707357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164" fontId="0" fillId="0" borderId="0" xfId="0" applyNumberFormat="1" applyAlignment="1">
      <alignment horizontal="center"/>
    </xf>
    <xf numFmtId="165" fontId="0" fillId="0" borderId="0" xfId="1" applyNumberFormat="1" applyFont="1"/>
    <xf numFmtId="14" fontId="0" fillId="0" borderId="0" xfId="0" applyNumberFormat="1"/>
    <xf numFmtId="0" fontId="2" fillId="2" borderId="0" xfId="0" applyFont="1" applyFill="1" applyAlignment="1">
      <alignment horizontal="center"/>
    </xf>
    <xf numFmtId="9" fontId="0" fillId="0" borderId="0" xfId="1" applyNumberFormat="1" applyFont="1"/>
    <xf numFmtId="166" fontId="0" fillId="0" borderId="0" xfId="0" applyNumberFormat="1" applyFont="1"/>
    <xf numFmtId="0" fontId="0" fillId="0" borderId="0" xfId="0" applyFont="1"/>
    <xf numFmtId="167" fontId="0" fillId="0" borderId="0" xfId="0" applyNumberFormat="1" applyFont="1" applyAlignment="1">
      <alignment horizontal="center"/>
    </xf>
    <xf numFmtId="168" fontId="0" fillId="0" borderId="0" xfId="0" applyNumberFormat="1" applyFont="1" applyAlignment="1">
      <alignment horizontal="center"/>
    </xf>
    <xf numFmtId="167" fontId="0" fillId="3" borderId="0" xfId="0" applyNumberFormat="1" applyFont="1" applyFill="1" applyAlignment="1">
      <alignment horizontal="center"/>
    </xf>
    <xf numFmtId="164" fontId="0" fillId="3" borderId="0" xfId="0" applyNumberFormat="1" applyFill="1"/>
    <xf numFmtId="0" fontId="2" fillId="3" borderId="0" xfId="0" applyFont="1" applyFill="1" applyAlignment="1">
      <alignment horizontal="center"/>
    </xf>
    <xf numFmtId="0" fontId="2" fillId="2" borderId="0" xfId="0" applyFont="1" applyFill="1"/>
    <xf numFmtId="9" fontId="0" fillId="0" borderId="0" xfId="0" applyNumberFormat="1"/>
    <xf numFmtId="169" fontId="0" fillId="0" borderId="0" xfId="0" applyNumberFormat="1" applyFont="1" applyAlignment="1">
      <alignment horizontal="center"/>
    </xf>
    <xf numFmtId="169" fontId="0" fillId="0" borderId="0" xfId="0" applyNumberFormat="1" applyFont="1" applyAlignment="1">
      <alignment horizontal="center" vertical="center"/>
    </xf>
    <xf numFmtId="169" fontId="0" fillId="3" borderId="0" xfId="0" applyNumberFormat="1" applyFont="1" applyFill="1" applyAlignment="1">
      <alignment horizontal="center" vertical="center"/>
    </xf>
    <xf numFmtId="169" fontId="0" fillId="0" borderId="0" xfId="0" applyNumberFormat="1" applyAlignment="1">
      <alignment horizontal="center" vertical="center"/>
    </xf>
    <xf numFmtId="169" fontId="0" fillId="0" borderId="0" xfId="0" applyNumberFormat="1" applyAlignment="1">
      <alignment horizontal="center"/>
    </xf>
    <xf numFmtId="166" fontId="3" fillId="0" borderId="0" xfId="0" applyNumberFormat="1" applyFont="1"/>
    <xf numFmtId="0" fontId="3" fillId="0" borderId="0" xfId="0" applyFont="1"/>
    <xf numFmtId="169" fontId="3" fillId="0" borderId="0" xfId="0" applyNumberFormat="1" applyFont="1" applyAlignment="1">
      <alignment horizontal="center" vertical="center"/>
    </xf>
    <xf numFmtId="169" fontId="3" fillId="0" borderId="0" xfId="0" applyNumberFormat="1" applyFont="1" applyAlignment="1">
      <alignment horizontal="center"/>
    </xf>
    <xf numFmtId="0" fontId="4" fillId="2" borderId="0" xfId="0" applyFont="1" applyFill="1"/>
    <xf numFmtId="0" fontId="4" fillId="2" borderId="0" xfId="0" applyFont="1" applyFill="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9" fontId="3" fillId="0" borderId="0" xfId="0" applyNumberFormat="1" applyFont="1" applyAlignment="1">
      <alignment horizontal="center"/>
    </xf>
    <xf numFmtId="0" fontId="0" fillId="0" borderId="0" xfId="0" pivotButton="1"/>
    <xf numFmtId="169" fontId="0" fillId="0" borderId="0" xfId="0" applyNumberFormat="1"/>
    <xf numFmtId="0" fontId="5" fillId="0" borderId="0" xfId="0" applyFont="1"/>
    <xf numFmtId="0" fontId="0" fillId="0" borderId="0" xfId="0" applyAlignment="1">
      <alignment horizontal="left"/>
    </xf>
    <xf numFmtId="0" fontId="0" fillId="4" borderId="0" xfId="0" applyFill="1" applyAlignment="1">
      <alignment horizontal="center"/>
    </xf>
    <xf numFmtId="0" fontId="7" fillId="4" borderId="0" xfId="0" applyFont="1" applyFill="1" applyAlignment="1">
      <alignment horizontal="center"/>
    </xf>
    <xf numFmtId="0" fontId="0" fillId="5" borderId="0" xfId="0" applyFill="1"/>
    <xf numFmtId="0" fontId="6" fillId="4" borderId="0" xfId="0" applyFont="1" applyFill="1" applyAlignment="1">
      <alignment horizontal="center"/>
    </xf>
    <xf numFmtId="176" fontId="0" fillId="5" borderId="0" xfId="0" applyNumberFormat="1" applyFill="1"/>
    <xf numFmtId="9" fontId="0" fillId="5" borderId="0" xfId="1" applyFont="1" applyFill="1"/>
    <xf numFmtId="178" fontId="0" fillId="0" borderId="0" xfId="0" applyNumberFormat="1"/>
    <xf numFmtId="169" fontId="0" fillId="5" borderId="0" xfId="0" applyNumberFormat="1" applyFill="1"/>
    <xf numFmtId="0" fontId="0" fillId="4" borderId="0" xfId="0" applyFill="1"/>
    <xf numFmtId="176" fontId="0" fillId="0" borderId="0" xfId="0" applyNumberFormat="1"/>
  </cellXfs>
  <cellStyles count="2">
    <cellStyle name="Normal" xfId="0" builtinId="0"/>
    <cellStyle name="Percent" xfId="1" builtinId="5"/>
  </cellStyles>
  <dxfs count="249">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69" formatCode="[$$-409]#,##0.00"/>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69" formatCode="[$$-409]#,##0.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77" formatCode="[$$-409]#,##0.0"/>
    </dxf>
    <dxf>
      <numFmt numFmtId="178" formatCode="[$$-409]#,##0"/>
    </dxf>
    <dxf>
      <numFmt numFmtId="169" formatCode="[$$-409]#,##0.00"/>
    </dxf>
    <dxf>
      <numFmt numFmtId="169" formatCode="[$$-409]#,##0.00"/>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69" formatCode="[$$-409]#,##0.00"/>
    </dxf>
    <dxf>
      <numFmt numFmtId="176" formatCode="_-[$$-409]* #,##0.00_ ;_-[$$-409]* \-#,##0.00\ ;_-[$$-409]* &quot;-&quot;??_ ;_-@_ "/>
    </dxf>
    <dxf>
      <numFmt numFmtId="178" formatCode="[$$-409]#,##0"/>
    </dxf>
    <dxf>
      <numFmt numFmtId="177" formatCode="[$$-409]#,##0.0"/>
    </dxf>
    <dxf>
      <numFmt numFmtId="169" formatCode="[$$-409]#,##0.00"/>
    </dxf>
    <dxf>
      <numFmt numFmtId="13" formatCode="0%"/>
    </dxf>
    <dxf>
      <numFmt numFmtId="165" formatCode="0.0%"/>
    </dxf>
    <dxf>
      <numFmt numFmtId="14" formatCode="0.00%"/>
    </dxf>
    <dxf>
      <numFmt numFmtId="165" formatCode="0.0%"/>
    </dxf>
    <dxf>
      <numFmt numFmtId="13" formatCode="0%"/>
    </dxf>
    <dxf>
      <numFmt numFmtId="169" formatCode="[$$-409]#,##0.00"/>
    </dxf>
    <dxf>
      <numFmt numFmtId="169" formatCode="[$$-409]#,##0.00"/>
    </dxf>
    <dxf>
      <numFmt numFmtId="169" formatCode="[$$-409]#,##0.00"/>
    </dxf>
    <dxf>
      <numFmt numFmtId="169" formatCode="[$$-409]#,##0.00"/>
    </dxf>
    <dxf>
      <numFmt numFmtId="169" formatCode="[$$-409]#,##0.00"/>
    </dxf>
    <dxf>
      <numFmt numFmtId="169" formatCode="[$$-409]#,##0.00"/>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9" formatCode="[$$-409]#,##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9" formatCode="[$$-409]#,##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9" formatCode="[$$-409]#,##0.0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166" formatCode="mm/dd/yyyy;@"/>
    </dxf>
    <dxf>
      <font>
        <b val="0"/>
        <i val="0"/>
        <strike val="0"/>
        <condense val="0"/>
        <extend val="0"/>
        <outline val="0"/>
        <shadow val="0"/>
        <u val="none"/>
        <vertAlign val="baseline"/>
        <sz val="12"/>
        <color theme="1"/>
        <name val="Calibri"/>
        <scheme val="minor"/>
      </font>
      <numFmt numFmtId="166" formatCode="mm/dd/yyyy;@"/>
    </dxf>
    <dxf>
      <font>
        <b val="0"/>
        <i val="0"/>
        <strike val="0"/>
        <condense val="0"/>
        <extend val="0"/>
        <outline val="0"/>
        <shadow val="0"/>
        <u val="none"/>
        <vertAlign val="baseline"/>
        <sz val="12"/>
        <color theme="1"/>
        <name val="Calibri"/>
        <scheme val="minor"/>
      </font>
      <numFmt numFmtId="166" formatCode="mm/dd/yyyy;@"/>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166" formatCode="mm/dd/yyyy;@"/>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i val="0"/>
        <strike val="0"/>
        <condense val="0"/>
        <extend val="0"/>
        <outline val="0"/>
        <shadow val="0"/>
        <u val="none"/>
        <vertAlign val="baseline"/>
        <sz val="18"/>
        <color theme="1"/>
        <name val="Calibri"/>
        <scheme val="minor"/>
      </font>
      <fill>
        <patternFill patternType="solid">
          <fgColor indexed="64"/>
          <bgColor rgb="FFFFFF00"/>
        </patternFill>
      </fill>
    </dxf>
  </dxfs>
  <tableStyles count="0" defaultTableStyle="TableStyleMedium2" defaultPivotStyle="PivotStyleLight16"/>
  <colors>
    <mruColors>
      <color rgb="FFFFFFFF"/>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[Sales_Revenue_Dataset_DelRosarioPIVOT.xlsx]Analysis_dim!p5StatewithCLientrev</c:name>
    <c:fmtId val="4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Analysis_dim!$H$12</c:f>
              <c:strCache>
                <c:ptCount val="1"/>
                <c:pt idx="0">
                  <c:v>Sum of Profit</c:v>
                </c:pt>
              </c:strCache>
            </c:strRef>
          </c:tx>
          <c:spPr>
            <a:solidFill>
              <a:schemeClr val="accent1"/>
            </a:solidFill>
            <a:ln>
              <a:noFill/>
            </a:ln>
            <a:effectLst/>
            <a:sp3d/>
          </c:spPr>
          <c:invertIfNegative val="0"/>
          <c:cat>
            <c:strRef>
              <c:f>Analysis_dim!$G$13:$G$14</c:f>
              <c:strCache>
                <c:ptCount val="1"/>
                <c:pt idx="0">
                  <c:v>California</c:v>
                </c:pt>
              </c:strCache>
            </c:strRef>
          </c:cat>
          <c:val>
            <c:numRef>
              <c:f>Analysis_dim!$H$13:$H$14</c:f>
              <c:numCache>
                <c:formatCode>[$$-409]#,##0.00</c:formatCode>
                <c:ptCount val="1"/>
                <c:pt idx="0">
                  <c:v>780</c:v>
                </c:pt>
              </c:numCache>
            </c:numRef>
          </c:val>
          <c:extLst>
            <c:ext xmlns:c16="http://schemas.microsoft.com/office/drawing/2014/chart" uri="{C3380CC4-5D6E-409C-BE32-E72D297353CC}">
              <c16:uniqueId val="{00000004-B7BF-4C2E-A5CE-4091955EF3DB}"/>
            </c:ext>
          </c:extLst>
        </c:ser>
        <c:ser>
          <c:idx val="1"/>
          <c:order val="1"/>
          <c:tx>
            <c:strRef>
              <c:f>Analysis_dim!$I$12</c:f>
              <c:strCache>
                <c:ptCount val="1"/>
                <c:pt idx="0">
                  <c:v>Sum of Revenue</c:v>
                </c:pt>
              </c:strCache>
            </c:strRef>
          </c:tx>
          <c:spPr>
            <a:solidFill>
              <a:schemeClr val="accent2"/>
            </a:solidFill>
            <a:ln>
              <a:noFill/>
            </a:ln>
            <a:effectLst/>
            <a:sp3d/>
          </c:spPr>
          <c:invertIfNegative val="0"/>
          <c:cat>
            <c:strRef>
              <c:f>Analysis_dim!$G$13:$G$14</c:f>
              <c:strCache>
                <c:ptCount val="1"/>
                <c:pt idx="0">
                  <c:v>California</c:v>
                </c:pt>
              </c:strCache>
            </c:strRef>
          </c:cat>
          <c:val>
            <c:numRef>
              <c:f>Analysis_dim!$I$13:$I$14</c:f>
              <c:numCache>
                <c:formatCode>[$$-409]#,##0.00</c:formatCode>
                <c:ptCount val="1"/>
                <c:pt idx="0">
                  <c:v>4500</c:v>
                </c:pt>
              </c:numCache>
            </c:numRef>
          </c:val>
          <c:extLst>
            <c:ext xmlns:c16="http://schemas.microsoft.com/office/drawing/2014/chart" uri="{C3380CC4-5D6E-409C-BE32-E72D297353CC}">
              <c16:uniqueId val="{00000005-B7BF-4C2E-A5CE-4091955EF3DB}"/>
            </c:ext>
          </c:extLst>
        </c:ser>
        <c:dLbls>
          <c:showLegendKey val="0"/>
          <c:showVal val="0"/>
          <c:showCatName val="0"/>
          <c:showSerName val="0"/>
          <c:showPercent val="0"/>
          <c:showBubbleSize val="0"/>
        </c:dLbls>
        <c:gapWidth val="150"/>
        <c:shape val="box"/>
        <c:axId val="1067630000"/>
        <c:axId val="1067626672"/>
        <c:axId val="0"/>
      </c:bar3DChart>
      <c:catAx>
        <c:axId val="1067630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26672"/>
        <c:crosses val="autoZero"/>
        <c:auto val="1"/>
        <c:lblAlgn val="ctr"/>
        <c:lblOffset val="100"/>
        <c:noMultiLvlLbl val="0"/>
      </c:catAx>
      <c:valAx>
        <c:axId val="10676266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30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[Sales_Revenue_Dataset_DelRosarioPIVOT.xlsx]Analysis_dim!p4StatewithHighest</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State with the</a:t>
            </a:r>
            <a:r>
              <a:rPr lang="en-PH" baseline="0"/>
              <a:t> Highest Revenue</a:t>
            </a:r>
            <a:endParaRPr lang="en-PH"/>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Analysis_dim!$E$11</c:f>
              <c:strCache>
                <c:ptCount val="1"/>
                <c:pt idx="0">
                  <c:v>Total</c:v>
                </c:pt>
              </c:strCache>
            </c:strRef>
          </c:tx>
          <c:spPr>
            <a:solidFill>
              <a:schemeClr val="accent1"/>
            </a:solidFill>
            <a:ln>
              <a:noFill/>
            </a:ln>
            <a:effectLst/>
            <a:sp3d/>
          </c:spPr>
          <c:invertIfNegative val="0"/>
          <c:cat>
            <c:strRef>
              <c:f>Analysis_dim!$D$12:$D$13</c:f>
              <c:strCache>
                <c:ptCount val="1"/>
                <c:pt idx="0">
                  <c:v>California</c:v>
                </c:pt>
              </c:strCache>
            </c:strRef>
          </c:cat>
          <c:val>
            <c:numRef>
              <c:f>Analysis_dim!$E$12:$E$13</c:f>
              <c:numCache>
                <c:formatCode>[$$-409]#,##0.00</c:formatCode>
                <c:ptCount val="1"/>
                <c:pt idx="0">
                  <c:v>4500</c:v>
                </c:pt>
              </c:numCache>
            </c:numRef>
          </c:val>
          <c:extLst>
            <c:ext xmlns:c16="http://schemas.microsoft.com/office/drawing/2014/chart" uri="{C3380CC4-5D6E-409C-BE32-E72D297353CC}">
              <c16:uniqueId val="{00000002-02F6-4FD9-85D1-73722FBBAB0B}"/>
            </c:ext>
          </c:extLst>
        </c:ser>
        <c:dLbls>
          <c:showLegendKey val="0"/>
          <c:showVal val="0"/>
          <c:showCatName val="0"/>
          <c:showSerName val="0"/>
          <c:showPercent val="0"/>
          <c:showBubbleSize val="0"/>
        </c:dLbls>
        <c:gapWidth val="150"/>
        <c:shape val="box"/>
        <c:axId val="1886507792"/>
        <c:axId val="1886513200"/>
        <c:axId val="0"/>
      </c:bar3DChart>
      <c:catAx>
        <c:axId val="188650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13200"/>
        <c:crosses val="autoZero"/>
        <c:auto val="1"/>
        <c:lblAlgn val="ctr"/>
        <c:lblOffset val="100"/>
        <c:noMultiLvlLbl val="0"/>
      </c:catAx>
      <c:valAx>
        <c:axId val="1886513200"/>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07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States</a:t>
            </a:r>
            <a:r>
              <a:rPr lang="en-US" baseline="0"/>
              <a:t> Revenues</a:t>
            </a:r>
          </a:p>
          <a:p>
            <a:pPr>
              <a:defRPr/>
            </a:pPr>
            <a:endParaRPr lang="en-US"/>
          </a:p>
        </c:rich>
      </c:tx>
      <c:layout>
        <c:manualLayout>
          <c:xMode val="edge"/>
          <c:yMode val="edge"/>
          <c:x val="0.3604652230971128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4418007932487"/>
          <c:y val="0.19486094063320913"/>
          <c:w val="0.81432174103237098"/>
          <c:h val="0.72088764946048411"/>
        </c:manualLayout>
      </c:layout>
      <c:barChart>
        <c:barDir val="col"/>
        <c:grouping val="clustered"/>
        <c:varyColors val="0"/>
        <c:ser>
          <c:idx val="0"/>
          <c:order val="0"/>
          <c:tx>
            <c:strRef>
              <c:f>Analysis_dim!$E$20</c:f>
              <c:strCache>
                <c:ptCount val="1"/>
                <c:pt idx="0">
                  <c:v>Sum of Revenue</c:v>
                </c:pt>
              </c:strCache>
            </c:strRef>
          </c:tx>
          <c:spPr>
            <a:solidFill>
              <a:schemeClr val="accent1"/>
            </a:solidFill>
            <a:ln>
              <a:noFill/>
            </a:ln>
            <a:effectLst/>
          </c:spPr>
          <c:invertIfNegative val="0"/>
          <c:cat>
            <c:strRef>
              <c:f>Analysis_dim!$D$21:$D$24</c:f>
              <c:strCache>
                <c:ptCount val="2"/>
                <c:pt idx="0">
                  <c:v>California</c:v>
                </c:pt>
                <c:pt idx="1">
                  <c:v>Grand Total</c:v>
                </c:pt>
              </c:strCache>
            </c:strRef>
          </c:cat>
          <c:val>
            <c:numRef>
              <c:f>Analysis_dim!$E$21:$E$24</c:f>
              <c:numCache>
                <c:formatCode>_-[$$-409]* #,##0.00_ ;_-[$$-409]* \-#,##0.00\ ;_-[$$-409]* "-"??_ ;_-@_ </c:formatCode>
                <c:ptCount val="4"/>
                <c:pt idx="0">
                  <c:v>4500</c:v>
                </c:pt>
                <c:pt idx="1">
                  <c:v>4500</c:v>
                </c:pt>
              </c:numCache>
            </c:numRef>
          </c:val>
          <c:extLst>
            <c:ext xmlns:c16="http://schemas.microsoft.com/office/drawing/2014/chart" uri="{C3380CC4-5D6E-409C-BE32-E72D297353CC}">
              <c16:uniqueId val="{00000000-E28F-434D-BB62-A5D8BF949045}"/>
            </c:ext>
          </c:extLst>
        </c:ser>
        <c:dLbls>
          <c:showLegendKey val="0"/>
          <c:showVal val="0"/>
          <c:showCatName val="0"/>
          <c:showSerName val="0"/>
          <c:showPercent val="0"/>
          <c:showBubbleSize val="0"/>
        </c:dLbls>
        <c:gapWidth val="219"/>
        <c:overlap val="-27"/>
        <c:axId val="1883400464"/>
        <c:axId val="1883396720"/>
      </c:barChart>
      <c:catAx>
        <c:axId val="188340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396720"/>
        <c:crosses val="autoZero"/>
        <c:auto val="1"/>
        <c:lblAlgn val="ctr"/>
        <c:lblOffset val="100"/>
        <c:noMultiLvlLbl val="0"/>
      </c:catAx>
      <c:valAx>
        <c:axId val="188339672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00464"/>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[Sales_Revenue_Dataset_DelRosarioPIVOT.xlsx]Analysis_dim!p5-1TOP 5</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TOP</a:t>
            </a:r>
            <a:r>
              <a:rPr lang="en-PH" baseline="0"/>
              <a:t> 5 CLIENTS HIGHEST REV</a:t>
            </a:r>
          </a:p>
          <a:p>
            <a:pPr>
              <a:defRPr/>
            </a:pPr>
            <a:endParaRPr lang="en-PH"/>
          </a:p>
        </c:rich>
      </c:tx>
      <c:layout>
        <c:manualLayout>
          <c:xMode val="edge"/>
          <c:yMode val="edge"/>
          <c:x val="0.27202484275406225"/>
          <c:y val="0.120143163922691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Analysis_dim!$H$22</c:f>
              <c:strCache>
                <c:ptCount val="1"/>
                <c:pt idx="0">
                  <c:v>Total</c:v>
                </c:pt>
              </c:strCache>
            </c:strRef>
          </c:tx>
          <c:spPr>
            <a:solidFill>
              <a:schemeClr val="accent1"/>
            </a:solidFill>
            <a:ln>
              <a:noFill/>
            </a:ln>
            <a:effectLst/>
            <a:sp3d/>
          </c:spPr>
          <c:invertIfNegative val="0"/>
          <c:cat>
            <c:strRef>
              <c:f>Analysis_dim!$G$23:$G$24</c:f>
              <c:strCache>
                <c:ptCount val="1"/>
                <c:pt idx="0">
                  <c:v>MCDONALD'S CORPORATION</c:v>
                </c:pt>
              </c:strCache>
            </c:strRef>
          </c:cat>
          <c:val>
            <c:numRef>
              <c:f>Analysis_dim!$H$23:$H$24</c:f>
              <c:numCache>
                <c:formatCode>[$$-409]#,##0.00</c:formatCode>
                <c:ptCount val="1"/>
                <c:pt idx="0">
                  <c:v>4500</c:v>
                </c:pt>
              </c:numCache>
            </c:numRef>
          </c:val>
          <c:extLst>
            <c:ext xmlns:c16="http://schemas.microsoft.com/office/drawing/2014/chart" uri="{C3380CC4-5D6E-409C-BE32-E72D297353CC}">
              <c16:uniqueId val="{00000004-5F35-417B-A997-BFA9EFF915AE}"/>
            </c:ext>
          </c:extLst>
        </c:ser>
        <c:dLbls>
          <c:showLegendKey val="0"/>
          <c:showVal val="0"/>
          <c:showCatName val="0"/>
          <c:showSerName val="0"/>
          <c:showPercent val="0"/>
          <c:showBubbleSize val="0"/>
        </c:dLbls>
        <c:gapWidth val="150"/>
        <c:shape val="box"/>
        <c:axId val="1778160112"/>
        <c:axId val="1778160528"/>
        <c:axId val="0"/>
      </c:bar3DChart>
      <c:catAx>
        <c:axId val="177816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60528"/>
        <c:crosses val="autoZero"/>
        <c:auto val="1"/>
        <c:lblAlgn val="ctr"/>
        <c:lblOffset val="100"/>
        <c:noMultiLvlLbl val="0"/>
      </c:catAx>
      <c:valAx>
        <c:axId val="177816052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60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[Sales_Revenue_Dataset_DelRosarioPIVOT.xlsx]Analysis_dim!6. Dislplay</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Analysis_dim!$K$22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cat>
            <c:strRef>
              <c:f>Analysis_dim!$J$23:$J$24</c:f>
              <c:strCache>
                <c:ptCount val="1"/>
                <c:pt idx="0">
                  <c:v>May</c:v>
                </c:pt>
              </c:strCache>
            </c:strRef>
          </c:cat>
          <c:val>
            <c:numRef>
              <c:f>Analysis_dim!$K$23:$K$24</c:f>
              <c:numCache>
                <c:formatCode>[$$-409]#,##0.00</c:formatCode>
                <c:ptCount val="1"/>
                <c:pt idx="0">
                  <c:v>780</c:v>
                </c:pt>
              </c:numCache>
            </c:numRef>
          </c:val>
          <c:extLst>
            <c:ext xmlns:c16="http://schemas.microsoft.com/office/drawing/2014/chart" uri="{C3380CC4-5D6E-409C-BE32-E72D297353CC}">
              <c16:uniqueId val="{00000006-D076-4BC8-BC83-348194F0FE3A}"/>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States</a:t>
            </a:r>
            <a:r>
              <a:rPr lang="en-US" baseline="0"/>
              <a:t> Revenues</a:t>
            </a:r>
          </a:p>
          <a:p>
            <a:pPr>
              <a:defRPr/>
            </a:pPr>
            <a:endParaRPr lang="en-US"/>
          </a:p>
        </c:rich>
      </c:tx>
      <c:layout>
        <c:manualLayout>
          <c:xMode val="edge"/>
          <c:yMode val="edge"/>
          <c:x val="0.33678614788889299"/>
          <c:y val="1.9791719723994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23381452318459"/>
          <c:y val="0.19486111111111112"/>
          <c:w val="0.81432174103237098"/>
          <c:h val="0.72088764946048411"/>
        </c:manualLayout>
      </c:layout>
      <c:barChart>
        <c:barDir val="col"/>
        <c:grouping val="clustered"/>
        <c:varyColors val="0"/>
        <c:ser>
          <c:idx val="0"/>
          <c:order val="0"/>
          <c:tx>
            <c:strRef>
              <c:f>Analysis_dim!$E$20</c:f>
              <c:strCache>
                <c:ptCount val="1"/>
                <c:pt idx="0">
                  <c:v>Sum of Revenue</c:v>
                </c:pt>
              </c:strCache>
            </c:strRef>
          </c:tx>
          <c:spPr>
            <a:solidFill>
              <a:schemeClr val="accent1"/>
            </a:solidFill>
            <a:ln>
              <a:noFill/>
            </a:ln>
            <a:effectLst/>
          </c:spPr>
          <c:invertIfNegative val="0"/>
          <c:cat>
            <c:strRef>
              <c:f>Analysis_dim!$D$21:$D$24</c:f>
              <c:strCache>
                <c:ptCount val="2"/>
                <c:pt idx="0">
                  <c:v>California</c:v>
                </c:pt>
                <c:pt idx="1">
                  <c:v>Grand Total</c:v>
                </c:pt>
              </c:strCache>
            </c:strRef>
          </c:cat>
          <c:val>
            <c:numRef>
              <c:f>Analysis_dim!$E$21:$E$24</c:f>
              <c:numCache>
                <c:formatCode>_-[$$-409]* #,##0.00_ ;_-[$$-409]* \-#,##0.00\ ;_-[$$-409]* "-"??_ ;_-@_ </c:formatCode>
                <c:ptCount val="4"/>
                <c:pt idx="0">
                  <c:v>4500</c:v>
                </c:pt>
                <c:pt idx="1">
                  <c:v>4500</c:v>
                </c:pt>
              </c:numCache>
            </c:numRef>
          </c:val>
          <c:extLst>
            <c:ext xmlns:c16="http://schemas.microsoft.com/office/drawing/2014/chart" uri="{C3380CC4-5D6E-409C-BE32-E72D297353CC}">
              <c16:uniqueId val="{00000000-2120-4BCA-BE95-8763B2151361}"/>
            </c:ext>
          </c:extLst>
        </c:ser>
        <c:dLbls>
          <c:showLegendKey val="0"/>
          <c:showVal val="0"/>
          <c:showCatName val="0"/>
          <c:showSerName val="0"/>
          <c:showPercent val="0"/>
          <c:showBubbleSize val="0"/>
        </c:dLbls>
        <c:gapWidth val="219"/>
        <c:overlap val="-27"/>
        <c:axId val="1883400464"/>
        <c:axId val="1883396720"/>
      </c:barChart>
      <c:catAx>
        <c:axId val="188340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396720"/>
        <c:crosses val="autoZero"/>
        <c:auto val="1"/>
        <c:lblAlgn val="ctr"/>
        <c:lblOffset val="100"/>
        <c:noMultiLvlLbl val="0"/>
      </c:catAx>
      <c:valAx>
        <c:axId val="188339672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00464"/>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[Sales_Revenue_Dataset_DelRosarioPIVOT.xlsx]Analysis_dim!p5-1TOP 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TOP</a:t>
            </a:r>
            <a:r>
              <a:rPr lang="en-PH" baseline="0"/>
              <a:t> 5 CLIENTS HIGHEST REV</a:t>
            </a:r>
          </a:p>
          <a:p>
            <a:pPr>
              <a:defRPr/>
            </a:pPr>
            <a:endParaRPr lang="en-PH"/>
          </a:p>
        </c:rich>
      </c:tx>
      <c:layout>
        <c:manualLayout>
          <c:xMode val="edge"/>
          <c:yMode val="edge"/>
          <c:x val="0.16514372314213835"/>
          <c:y val="0.120143282460321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Analysis_dim!$H$22</c:f>
              <c:strCache>
                <c:ptCount val="1"/>
                <c:pt idx="0">
                  <c:v>Total</c:v>
                </c:pt>
              </c:strCache>
            </c:strRef>
          </c:tx>
          <c:spPr>
            <a:solidFill>
              <a:schemeClr val="accent1"/>
            </a:solidFill>
            <a:ln>
              <a:noFill/>
            </a:ln>
            <a:effectLst/>
            <a:sp3d/>
          </c:spPr>
          <c:invertIfNegative val="0"/>
          <c:cat>
            <c:strRef>
              <c:f>Analysis_dim!$G$23:$G$24</c:f>
              <c:strCache>
                <c:ptCount val="1"/>
                <c:pt idx="0">
                  <c:v>MCDONALD'S CORPORATION</c:v>
                </c:pt>
              </c:strCache>
            </c:strRef>
          </c:cat>
          <c:val>
            <c:numRef>
              <c:f>Analysis_dim!$H$23:$H$24</c:f>
              <c:numCache>
                <c:formatCode>[$$-409]#,##0.00</c:formatCode>
                <c:ptCount val="1"/>
                <c:pt idx="0">
                  <c:v>4500</c:v>
                </c:pt>
              </c:numCache>
            </c:numRef>
          </c:val>
          <c:extLst>
            <c:ext xmlns:c16="http://schemas.microsoft.com/office/drawing/2014/chart" uri="{C3380CC4-5D6E-409C-BE32-E72D297353CC}">
              <c16:uniqueId val="{00000004-AC57-4A10-8289-97E4890DA9BF}"/>
            </c:ext>
          </c:extLst>
        </c:ser>
        <c:dLbls>
          <c:showLegendKey val="0"/>
          <c:showVal val="0"/>
          <c:showCatName val="0"/>
          <c:showSerName val="0"/>
          <c:showPercent val="0"/>
          <c:showBubbleSize val="0"/>
        </c:dLbls>
        <c:gapWidth val="150"/>
        <c:shape val="box"/>
        <c:axId val="1778160112"/>
        <c:axId val="1778160528"/>
        <c:axId val="0"/>
      </c:bar3DChart>
      <c:catAx>
        <c:axId val="177816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60528"/>
        <c:crosses val="autoZero"/>
        <c:auto val="1"/>
        <c:lblAlgn val="ctr"/>
        <c:lblOffset val="100"/>
        <c:noMultiLvlLbl val="0"/>
      </c:catAx>
      <c:valAx>
        <c:axId val="177816052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60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742950</xdr:colOff>
      <xdr:row>28</xdr:row>
      <xdr:rowOff>133350</xdr:rowOff>
    </xdr:from>
    <xdr:to>
      <xdr:col>16</xdr:col>
      <xdr:colOff>61912</xdr:colOff>
      <xdr:row>42</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1604962</xdr:colOff>
      <xdr:row>42</xdr:row>
      <xdr:rowOff>133350</xdr:rowOff>
    </xdr:from>
    <xdr:to>
      <xdr:col>10</xdr:col>
      <xdr:colOff>576263</xdr:colOff>
      <xdr:row>56</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28</xdr:row>
      <xdr:rowOff>66675</xdr:rowOff>
    </xdr:from>
    <xdr:to>
      <xdr:col>6</xdr:col>
      <xdr:colOff>1371600</xdr:colOff>
      <xdr:row>42</xdr:row>
      <xdr:rowOff>9525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42</xdr:row>
      <xdr:rowOff>109537</xdr:rowOff>
    </xdr:from>
    <xdr:to>
      <xdr:col>6</xdr:col>
      <xdr:colOff>1371599</xdr:colOff>
      <xdr:row>56</xdr:row>
      <xdr:rowOff>61912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1466849</xdr:colOff>
      <xdr:row>28</xdr:row>
      <xdr:rowOff>95250</xdr:rowOff>
    </xdr:from>
    <xdr:to>
      <xdr:col>10</xdr:col>
      <xdr:colOff>471487</xdr:colOff>
      <xdr:row>42</xdr:row>
      <xdr:rowOff>47625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189302</xdr:colOff>
      <xdr:row>3</xdr:row>
      <xdr:rowOff>136747</xdr:rowOff>
    </xdr:from>
    <xdr:to>
      <xdr:col>6</xdr:col>
      <xdr:colOff>302630</xdr:colOff>
      <xdr:row>5</xdr:row>
      <xdr:rowOff>191013</xdr:rowOff>
    </xdr:to>
    <xdr:sp macro="" textlink="">
      <xdr:nvSpPr>
        <xdr:cNvPr id="9" name="Round Diagonal Corner Rectangle 8"/>
        <xdr:cNvSpPr/>
      </xdr:nvSpPr>
      <xdr:spPr>
        <a:xfrm>
          <a:off x="3187606" y="733095"/>
          <a:ext cx="1571067" cy="45183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PH" sz="1100"/>
            <a:t>TOTAL</a:t>
          </a:r>
          <a:r>
            <a:rPr lang="en-PH" sz="1100" baseline="0"/>
            <a:t> PROFIT</a:t>
          </a:r>
          <a:endParaRPr lang="en-PH" sz="1100"/>
        </a:p>
      </xdr:txBody>
    </xdr:sp>
    <xdr:clientData/>
  </xdr:twoCellAnchor>
  <xdr:twoCellAnchor>
    <xdr:from>
      <xdr:col>2</xdr:col>
      <xdr:colOff>56382</xdr:colOff>
      <xdr:row>3</xdr:row>
      <xdr:rowOff>162908</xdr:rowOff>
    </xdr:from>
    <xdr:to>
      <xdr:col>4</xdr:col>
      <xdr:colOff>165426</xdr:colOff>
      <xdr:row>6</xdr:row>
      <xdr:rowOff>18391</xdr:rowOff>
    </xdr:to>
    <xdr:sp macro="" textlink="">
      <xdr:nvSpPr>
        <xdr:cNvPr id="10" name="Round Diagonal Corner Rectangle 9"/>
        <xdr:cNvSpPr/>
      </xdr:nvSpPr>
      <xdr:spPr>
        <a:xfrm>
          <a:off x="1431295" y="759256"/>
          <a:ext cx="1732435" cy="45183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PH" sz="1100"/>
            <a:t>TOTAL REVENUE</a:t>
          </a:r>
        </a:p>
      </xdr:txBody>
    </xdr:sp>
    <xdr:clientData/>
  </xdr:twoCellAnchor>
  <xdr:twoCellAnchor>
    <xdr:from>
      <xdr:col>8</xdr:col>
      <xdr:colOff>511808</xdr:colOff>
      <xdr:row>3</xdr:row>
      <xdr:rowOff>135949</xdr:rowOff>
    </xdr:from>
    <xdr:to>
      <xdr:col>10</xdr:col>
      <xdr:colOff>620852</xdr:colOff>
      <xdr:row>5</xdr:row>
      <xdr:rowOff>190215</xdr:rowOff>
    </xdr:to>
    <xdr:sp macro="" textlink="">
      <xdr:nvSpPr>
        <xdr:cNvPr id="11" name="Round Diagonal Corner Rectangle 10"/>
        <xdr:cNvSpPr/>
      </xdr:nvSpPr>
      <xdr:spPr>
        <a:xfrm>
          <a:off x="6342765" y="732297"/>
          <a:ext cx="1483957" cy="45183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PH" sz="1100"/>
            <a:t>AVE PROFIT MARGIN</a:t>
          </a:r>
        </a:p>
      </xdr:txBody>
    </xdr:sp>
    <xdr:clientData/>
  </xdr:twoCellAnchor>
  <xdr:oneCellAnchor>
    <xdr:from>
      <xdr:col>2</xdr:col>
      <xdr:colOff>361293</xdr:colOff>
      <xdr:row>3</xdr:row>
      <xdr:rowOff>177362</xdr:rowOff>
    </xdr:from>
    <xdr:ext cx="184731" cy="436786"/>
    <xdr:sp macro="" textlink="">
      <xdr:nvSpPr>
        <xdr:cNvPr id="13" name="TextBox 12"/>
        <xdr:cNvSpPr txBox="1"/>
      </xdr:nvSpPr>
      <xdr:spPr>
        <a:xfrm>
          <a:off x="1727638" y="768569"/>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a:p>
          <a:endParaRPr lang="en-PH" sz="1100"/>
        </a:p>
      </xdr:txBody>
    </xdr:sp>
    <xdr:clientData/>
  </xdr:oneCellAnchor>
  <xdr:twoCellAnchor>
    <xdr:from>
      <xdr:col>2</xdr:col>
      <xdr:colOff>398708</xdr:colOff>
      <xdr:row>3</xdr:row>
      <xdr:rowOff>170794</xdr:rowOff>
    </xdr:from>
    <xdr:to>
      <xdr:col>3</xdr:col>
      <xdr:colOff>470967</xdr:colOff>
      <xdr:row>5</xdr:row>
      <xdr:rowOff>26277</xdr:rowOff>
    </xdr:to>
    <xdr:sp macro="" textlink="C6">
      <xdr:nvSpPr>
        <xdr:cNvPr id="14" name="Rectangle 13"/>
        <xdr:cNvSpPr/>
      </xdr:nvSpPr>
      <xdr:spPr>
        <a:xfrm>
          <a:off x="1773621" y="767142"/>
          <a:ext cx="1008194" cy="2530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D217F92-B6D5-48C2-8035-134D3A6FD58F}" type="TxLink">
            <a:rPr lang="en-US" sz="1200" b="0" i="0" u="none" strike="noStrike">
              <a:solidFill>
                <a:srgbClr val="000000"/>
              </a:solidFill>
              <a:latin typeface="Calibri"/>
              <a:cs typeface="Calibri"/>
            </a:rPr>
            <a:t> $4,500.00 </a:t>
          </a:fld>
          <a:endParaRPr lang="en-PH" sz="1100"/>
        </a:p>
      </xdr:txBody>
    </xdr:sp>
    <xdr:clientData/>
  </xdr:twoCellAnchor>
  <xdr:twoCellAnchor>
    <xdr:from>
      <xdr:col>4</xdr:col>
      <xdr:colOff>328448</xdr:colOff>
      <xdr:row>3</xdr:row>
      <xdr:rowOff>118241</xdr:rowOff>
    </xdr:from>
    <xdr:to>
      <xdr:col>5</xdr:col>
      <xdr:colOff>512378</xdr:colOff>
      <xdr:row>5</xdr:row>
      <xdr:rowOff>85396</xdr:rowOff>
    </xdr:to>
    <xdr:sp macro="" textlink="">
      <xdr:nvSpPr>
        <xdr:cNvPr id="18" name="Round Diagonal Corner Rectangle 17"/>
        <xdr:cNvSpPr/>
      </xdr:nvSpPr>
      <xdr:spPr>
        <a:xfrm>
          <a:off x="3310758" y="709448"/>
          <a:ext cx="867103" cy="361293"/>
        </a:xfrm>
        <a:prstGeom prst="round2Diag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b="1">
            <a:solidFill>
              <a:schemeClr val="tx1"/>
            </a:solidFill>
          </a:endParaRPr>
        </a:p>
      </xdr:txBody>
    </xdr:sp>
    <xdr:clientData/>
  </xdr:twoCellAnchor>
  <xdr:twoCellAnchor>
    <xdr:from>
      <xdr:col>6</xdr:col>
      <xdr:colOff>346042</xdr:colOff>
      <xdr:row>3</xdr:row>
      <xdr:rowOff>132409</xdr:rowOff>
    </xdr:from>
    <xdr:to>
      <xdr:col>8</xdr:col>
      <xdr:colOff>455086</xdr:colOff>
      <xdr:row>5</xdr:row>
      <xdr:rowOff>186675</xdr:rowOff>
    </xdr:to>
    <xdr:sp macro="" textlink="">
      <xdr:nvSpPr>
        <xdr:cNvPr id="22" name="Round Diagonal Corner Rectangle 21"/>
        <xdr:cNvSpPr/>
      </xdr:nvSpPr>
      <xdr:spPr>
        <a:xfrm>
          <a:off x="4802085" y="728757"/>
          <a:ext cx="1483958" cy="45183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PH" sz="1100"/>
            <a:t>AVE TOTAL</a:t>
          </a:r>
          <a:r>
            <a:rPr lang="en-PH" sz="1100" baseline="0"/>
            <a:t> PROFIT</a:t>
          </a:r>
          <a:endParaRPr lang="en-PH" sz="1100"/>
        </a:p>
      </xdr:txBody>
    </xdr:sp>
    <xdr:clientData/>
  </xdr:twoCellAnchor>
  <xdr:twoCellAnchor>
    <xdr:from>
      <xdr:col>6</xdr:col>
      <xdr:colOff>459539</xdr:colOff>
      <xdr:row>3</xdr:row>
      <xdr:rowOff>77113</xdr:rowOff>
    </xdr:from>
    <xdr:to>
      <xdr:col>8</xdr:col>
      <xdr:colOff>452971</xdr:colOff>
      <xdr:row>5</xdr:row>
      <xdr:rowOff>142803</xdr:rowOff>
    </xdr:to>
    <xdr:sp macro="" textlink="H5">
      <xdr:nvSpPr>
        <xdr:cNvPr id="19" name="Oval 18"/>
        <xdr:cNvSpPr/>
      </xdr:nvSpPr>
      <xdr:spPr>
        <a:xfrm>
          <a:off x="4915582" y="673461"/>
          <a:ext cx="1368346" cy="463255"/>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2E281A7-BC20-423C-A564-C550DDDD7506}" type="TxLink">
            <a:rPr lang="en-US" sz="1200" b="0" i="0" u="none" strike="noStrike">
              <a:solidFill>
                <a:srgbClr val="000000"/>
              </a:solidFill>
              <a:latin typeface="Calibri"/>
              <a:cs typeface="Calibri"/>
            </a:rPr>
            <a:t>$780.00</a:t>
          </a:fld>
          <a:endParaRPr lang="en-PH" sz="1100"/>
        </a:p>
      </xdr:txBody>
    </xdr:sp>
    <xdr:clientData/>
  </xdr:twoCellAnchor>
  <xdr:twoCellAnchor>
    <xdr:from>
      <xdr:col>9</xdr:col>
      <xdr:colOff>222487</xdr:colOff>
      <xdr:row>3</xdr:row>
      <xdr:rowOff>75401</xdr:rowOff>
    </xdr:from>
    <xdr:to>
      <xdr:col>10</xdr:col>
      <xdr:colOff>215918</xdr:colOff>
      <xdr:row>5</xdr:row>
      <xdr:rowOff>141091</xdr:rowOff>
    </xdr:to>
    <xdr:sp macro="" textlink="J5">
      <xdr:nvSpPr>
        <xdr:cNvPr id="20" name="Oval 19"/>
        <xdr:cNvSpPr/>
      </xdr:nvSpPr>
      <xdr:spPr>
        <a:xfrm>
          <a:off x="6740900" y="671749"/>
          <a:ext cx="680888" cy="463255"/>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3ACC340-2C6F-40E1-AA6B-0B36D399BC60}" type="TxLink">
            <a:rPr lang="en-US" sz="1200" b="0" i="0" u="none" strike="noStrike">
              <a:solidFill>
                <a:srgbClr val="000000"/>
              </a:solidFill>
              <a:latin typeface="Calibri"/>
              <a:cs typeface="Calibri"/>
            </a:rPr>
            <a:t>17%</a:t>
          </a:fld>
          <a:endParaRPr lang="en-PH" sz="1100"/>
        </a:p>
      </xdr:txBody>
    </xdr:sp>
    <xdr:clientData/>
  </xdr:twoCellAnchor>
  <xdr:twoCellAnchor>
    <xdr:from>
      <xdr:col>4</xdr:col>
      <xdr:colOff>522947</xdr:colOff>
      <xdr:row>3</xdr:row>
      <xdr:rowOff>141088</xdr:rowOff>
    </xdr:from>
    <xdr:to>
      <xdr:col>6</xdr:col>
      <xdr:colOff>66719</xdr:colOff>
      <xdr:row>8</xdr:row>
      <xdr:rowOff>70143</xdr:rowOff>
    </xdr:to>
    <xdr:sp macro="" textlink="E5">
      <xdr:nvSpPr>
        <xdr:cNvPr id="23" name="Rectangle 22"/>
        <xdr:cNvSpPr/>
      </xdr:nvSpPr>
      <xdr:spPr>
        <a:xfrm>
          <a:off x="3521251" y="737436"/>
          <a:ext cx="1001511" cy="9229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5ECF138-6CE2-4534-8BB4-C5CA7B8B0D58}" type="TxLink">
            <a:rPr lang="en-US" sz="1200" b="0" i="0" u="none" strike="noStrike">
              <a:solidFill>
                <a:srgbClr val="000000"/>
              </a:solidFill>
              <a:latin typeface="Calibri"/>
              <a:cs typeface="Calibri"/>
            </a:rPr>
            <a:t>$780.00</a:t>
          </a:fld>
          <a:endParaRPr lang="en-PH" sz="1100"/>
        </a:p>
      </xdr:txBody>
    </xdr:sp>
    <xdr:clientData/>
  </xdr:twoCellAnchor>
  <xdr:twoCellAnchor editAs="oneCell">
    <xdr:from>
      <xdr:col>0</xdr:col>
      <xdr:colOff>240195</xdr:colOff>
      <xdr:row>0</xdr:row>
      <xdr:rowOff>0</xdr:rowOff>
    </xdr:from>
    <xdr:to>
      <xdr:col>1</xdr:col>
      <xdr:colOff>256458</xdr:colOff>
      <xdr:row>3</xdr:row>
      <xdr:rowOff>102220</xdr:rowOff>
    </xdr:to>
    <xdr:pic>
      <xdr:nvPicPr>
        <xdr:cNvPr id="33" name="Picture 32" descr="Professional - Free marketing icon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195" y="0"/>
          <a:ext cx="703720" cy="698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120874</xdr:colOff>
      <xdr:row>6</xdr:row>
      <xdr:rowOff>57978</xdr:rowOff>
    </xdr:from>
    <xdr:to>
      <xdr:col>6</xdr:col>
      <xdr:colOff>257795</xdr:colOff>
      <xdr:row>14</xdr:row>
      <xdr:rowOff>165652</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8283</xdr:rowOff>
    </xdr:from>
    <xdr:to>
      <xdr:col>1</xdr:col>
      <xdr:colOff>654325</xdr:colOff>
      <xdr:row>10</xdr:row>
      <xdr:rowOff>99390</xdr:rowOff>
    </xdr:to>
    <mc:AlternateContent xmlns:mc="http://schemas.openxmlformats.org/markup-compatibility/2006">
      <mc:Choice xmlns:a14="http://schemas.microsoft.com/office/drawing/2010/main" Requires="a14">
        <xdr:graphicFrame macro="">
          <xdr:nvGraphicFramePr>
            <xdr:cNvPr id="28" name="Select State"/>
            <xdr:cNvGraphicFramePr/>
          </xdr:nvGraphicFramePr>
          <xdr:xfrm>
            <a:off x="0" y="0"/>
            <a:ext cx="0" cy="0"/>
          </xdr:xfrm>
          <a:graphic>
            <a:graphicData uri="http://schemas.microsoft.com/office/drawing/2010/slicer">
              <sle:slicer xmlns:sle="http://schemas.microsoft.com/office/drawing/2010/slicer" name="Select State"/>
            </a:graphicData>
          </a:graphic>
        </xdr:graphicFrame>
      </mc:Choice>
      <mc:Fallback>
        <xdr:sp macro="" textlink="">
          <xdr:nvSpPr>
            <xdr:cNvPr id="0" name=""/>
            <xdr:cNvSpPr>
              <a:spLocks noTextEdit="1"/>
            </xdr:cNvSpPr>
          </xdr:nvSpPr>
          <xdr:spPr>
            <a:xfrm>
              <a:off x="0" y="604631"/>
              <a:ext cx="1341782" cy="148258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298175</xdr:colOff>
      <xdr:row>6</xdr:row>
      <xdr:rowOff>74543</xdr:rowOff>
    </xdr:from>
    <xdr:to>
      <xdr:col>10</xdr:col>
      <xdr:colOff>637760</xdr:colOff>
      <xdr:row>19</xdr:row>
      <xdr:rowOff>66260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12</xdr:row>
      <xdr:rowOff>172279</xdr:rowOff>
    </xdr:from>
    <xdr:to>
      <xdr:col>2</xdr:col>
      <xdr:colOff>66261</xdr:colOff>
      <xdr:row>19</xdr:row>
      <xdr:rowOff>152400</xdr:rowOff>
    </xdr:to>
    <mc:AlternateContent xmlns:mc="http://schemas.openxmlformats.org/markup-compatibility/2006">
      <mc:Choice xmlns:tsle="http://schemas.microsoft.com/office/drawing/2012/timeslicer" Requires="tsle">
        <xdr:graphicFrame macro="">
          <xdr:nvGraphicFramePr>
            <xdr:cNvPr id="30"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2557670"/>
              <a:ext cx="1441174" cy="137160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COMLAB" refreshedDate="46073.754931249998" backgroundQuery="1" createdVersion="6" refreshedVersion="6" minRefreshableVersion="3" recordCount="0" supportSubquery="1" supportAdvancedDrill="1">
  <cacheSource type="external" connectionId="1"/>
  <cacheFields count="4">
    <cacheField name="[revenue_fact].[Date (Month)].[Date (Month)]" caption="Date (Month)" numFmtId="0" hierarchy="17" level="1">
      <sharedItems count="3">
        <s v="May"/>
        <s v="Jun" u="1"/>
        <s v="Jul" u="1"/>
      </sharedItems>
    </cacheField>
    <cacheField name="[Measures].[Sum of Profit]" caption="Sum of Profit" numFmtId="0" hierarchy="28"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4">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t_dim].[Department]" caption="Department" attribute="1" defaultMemberUniqueName="[dept_dim].[Department].[All]" allUniqueName="[dept_dim].[Department].[All]" dimensionUniqueName="[dept_dim]" displayFolder="" count="0" memberValueDatatype="130" unbalanced="0"/>
    <cacheHierarchy uniqueName="[dept_dim].[Dept_id]" caption="Dept_id" attribute="1" defaultMemberUniqueName="[dept_dim].[Dept_id].[All]" allUniqueName="[dept_dim].[Dept_id].[All]" dimensionUniqueName="[dept_dim]" displayFolder="" count="0" memberValueDatatype="13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130" unbalanced="0"/>
    <cacheHierarchy uniqueName="[revenue_fact].[Transac_Id]" caption="Transac_Id" attribute="1" defaultMemberUniqueName="[revenue_fact].[Transac_Id].[All]" allUniqueName="[revenue_fact].[Transac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3"/>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fieldsUsage count="2">
        <fieldUsage x="-1"/>
        <fieldUsage x="0"/>
      </fieldsUsage>
    </cacheHierarchy>
    <cacheHierarchy uniqueName="[state_dim].[State]" caption="State" attribute="1" defaultMemberUniqueName="[state_dim].[State].[All]" allUniqueName="[state_dim].[State].[All]" dimensionUniqueName="[state_dim]" displayFolder="" count="2" memberValueDatatype="130" unbalanced="0">
      <fieldsUsage count="2">
        <fieldUsage x="-1"/>
        <fieldUsage x="2"/>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8"/>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OMLAB" refreshedDate="46073.75493171296" backgroundQuery="1" createdVersion="6" refreshedVersion="6" minRefreshableVersion="3" recordCount="0" supportSubquery="1" supportAdvancedDrill="1">
  <cacheSource type="external" connectionId="1"/>
  <cacheFields count="3">
    <cacheField name="[Measures].[Sum of Revenue]" caption="Sum of Revenue" numFmtId="0" hierarchy="27"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4">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t_dim].[Department]" caption="Department" attribute="1" defaultMemberUniqueName="[dept_dim].[Department].[All]" allUniqueName="[dept_dim].[Department].[All]" dimensionUniqueName="[dept_dim]" displayFolder="" count="0" memberValueDatatype="130" unbalanced="0"/>
    <cacheHierarchy uniqueName="[dept_dim].[Dept_id]" caption="Dept_id" attribute="1" defaultMemberUniqueName="[dept_dim].[Dept_id].[All]" allUniqueName="[dept_dim].[Dept_id].[All]" dimensionUniqueName="[dept_dim]" displayFolder="" count="0" memberValueDatatype="13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130" unbalanced="0"/>
    <cacheHierarchy uniqueName="[revenue_fact].[Transac_Id]" caption="Transac_Id" attribute="1" defaultMemberUniqueName="[revenue_fact].[Transac_Id].[All]" allUniqueName="[revenue_fact].[Transac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8"/>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OMLAB" refreshedDate="46073.754931828706" backgroundQuery="1" createdVersion="6" refreshedVersion="6" minRefreshableVersion="3" recordCount="0" supportSubquery="1" supportAdvancedDrill="1">
  <cacheSource type="external" connectionId="1"/>
  <cacheFields count="3">
    <cacheField name="[Measures].[Sum of Profit]" caption="Sum of Profit" numFmtId="0" hierarchy="28"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4">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t_dim].[Department]" caption="Department" attribute="1" defaultMemberUniqueName="[dept_dim].[Department].[All]" allUniqueName="[dept_dim].[Department].[All]" dimensionUniqueName="[dept_dim]" displayFolder="" count="0" memberValueDatatype="130" unbalanced="0"/>
    <cacheHierarchy uniqueName="[dept_dim].[Dept_id]" caption="Dept_id" attribute="1" defaultMemberUniqueName="[dept_dim].[Dept_id].[All]" allUniqueName="[dept_dim].[Dept_id].[All]" dimensionUniqueName="[dept_dim]" displayFolder="" count="0" memberValueDatatype="13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130" unbalanced="0"/>
    <cacheHierarchy uniqueName="[revenue_fact].[Transac_Id]" caption="Transac_Id" attribute="1" defaultMemberUniqueName="[revenue_fact].[Transac_Id].[All]" allUniqueName="[revenue_fact].[Transac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8"/>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OMLAB" refreshedDate="46073.754932291668" backgroundQuery="1" createdVersion="6" refreshedVersion="6" minRefreshableVersion="3" recordCount="0" supportSubquery="1" supportAdvancedDrill="1">
  <cacheSource type="external" connectionId="1"/>
  <cacheFields count="3">
    <cacheField name="[Measures].[Average of Profit]" caption="Average of Profit" numFmtId="0" hierarchy="31"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4">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t_dim].[Department]" caption="Department" attribute="1" defaultMemberUniqueName="[dept_dim].[Department].[All]" allUniqueName="[dept_dim].[Department].[All]" dimensionUniqueName="[dept_dim]" displayFolder="" count="0" memberValueDatatype="130" unbalanced="0"/>
    <cacheHierarchy uniqueName="[dept_dim].[Dept_id]" caption="Dept_id" attribute="1" defaultMemberUniqueName="[dept_dim].[Dept_id].[All]" allUniqueName="[dept_dim].[Dept_id].[All]" dimensionUniqueName="[dept_dim]" displayFolder="" count="0" memberValueDatatype="13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130" unbalanced="0"/>
    <cacheHierarchy uniqueName="[revenue_fact].[Transac_Id]" caption="Transac_Id" attribute="1" defaultMemberUniqueName="[revenue_fact].[Transac_Id].[All]" allUniqueName="[revenue_fact].[Transac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8"/>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OMLAB" refreshedDate="46073.754932638891" backgroundQuery="1" createdVersion="6" refreshedVersion="6" minRefreshableVersion="3" recordCount="0" supportSubquery="1" supportAdvancedDrill="1">
  <cacheSource type="external" connectionId="1"/>
  <cacheFields count="3">
    <cacheField name="[Measures].[Average of Profit Margin]" caption="Average of Profit Margin" numFmtId="0" hierarchy="30"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4">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t_dim].[Department]" caption="Department" attribute="1" defaultMemberUniqueName="[dept_dim].[Department].[All]" allUniqueName="[dept_dim].[Department].[All]" dimensionUniqueName="[dept_dim]" displayFolder="" count="0" memberValueDatatype="130" unbalanced="0"/>
    <cacheHierarchy uniqueName="[dept_dim].[Dept_id]" caption="Dept_id" attribute="1" defaultMemberUniqueName="[dept_dim].[Dept_id].[All]" allUniqueName="[dept_dim].[Dept_id].[All]" dimensionUniqueName="[dept_dim]" displayFolder="" count="0" memberValueDatatype="13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130" unbalanced="0"/>
    <cacheHierarchy uniqueName="[revenue_fact].[Transac_Id]" caption="Transac_Id" attribute="1" defaultMemberUniqueName="[revenue_fact].[Transac_Id].[All]" allUniqueName="[revenue_fact].[Transac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8"/>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OMLAB" refreshedDate="46073.75493333333" backgroundQuery="1" createdVersion="6" refreshedVersion="6" minRefreshableVersion="3" recordCount="0" supportSubquery="1" supportAdvancedDrill="1">
  <cacheSource type="external" connectionId="1"/>
  <cacheFields count="3">
    <cacheField name="[state_dim].[State].[State]" caption="State" numFmtId="0" hierarchy="18" level="1">
      <sharedItems count="4">
        <s v="California"/>
        <s v="New York" u="1"/>
        <s v="Florida" u="1"/>
        <s v="Texas" u="1"/>
      </sharedItems>
    </cacheField>
    <cacheField name="[Measures].[Sum of Revenue]" caption="Sum of Revenue" numFmtId="0" hierarchy="27" level="32767"/>
    <cacheField name="[revenue_fact].[Date].[Date]" caption="Date" numFmtId="0" hierarchy="9" level="1">
      <sharedItems containsSemiMixedTypes="0" containsNonDate="0" containsString="0"/>
    </cacheField>
  </cacheFields>
  <cacheHierarchies count="34">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t_dim].[Department]" caption="Department" attribute="1" defaultMemberUniqueName="[dept_dim].[Department].[All]" allUniqueName="[dept_dim].[Department].[All]" dimensionUniqueName="[dept_dim]" displayFolder="" count="0" memberValueDatatype="130" unbalanced="0"/>
    <cacheHierarchy uniqueName="[dept_dim].[Dept_id]" caption="Dept_id" attribute="1" defaultMemberUniqueName="[dept_dim].[Dept_id].[All]" allUniqueName="[dept_dim].[Dept_id].[All]" dimensionUniqueName="[dept_dim]" displayFolder="" count="0" memberValueDatatype="13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130" unbalanced="0"/>
    <cacheHierarchy uniqueName="[revenue_fact].[Transac_Id]" caption="Transac_Id" attribute="1" defaultMemberUniqueName="[revenue_fact].[Transac_Id].[All]" allUniqueName="[revenue_fact].[Transac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0"/>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8"/>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COMLAB" refreshedDate="46073.754933912038" backgroundQuery="1" createdVersion="6" refreshedVersion="6" minRefreshableVersion="3" recordCount="0" supportSubquery="1" supportAdvancedDrill="1">
  <cacheSource type="external" connectionId="1"/>
  <cacheFields count="4">
    <cacheField name="[client_dim].[Client].[Client]" caption="Client" numFmtId="0" level="1">
      <sharedItems count="6">
        <s v="MCDONALD'S CORPORATION"/>
        <s v="COMCAST CORPORATION" u="1"/>
        <s v="DELL TECHNOLOGIES INC." u="1"/>
        <s v="LOCKHEED MARTIN CORPORATION" u="1"/>
        <s v="CHEVRON CORPORATION" u="1"/>
        <s v="AMAZON.COM, INC." u="1"/>
      </sharedItems>
    </cacheField>
    <cacheField name="[Measures].[Sum of Revenue]" caption="Sum of Revenue" numFmtId="0" hierarchy="27"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4">
    <cacheHierarchy uniqueName="[client_dim].[Client]" caption="Client" attribute="1" defaultMemberUniqueName="[client_dim].[Client].[All]" allUniqueName="[client_dim].[Client].[All]" dimensionUniqueName="[client_dim]" displayFolder="" count="2" memberValueDatatype="130" unbalanced="0">
      <fieldsUsage count="2">
        <fieldUsage x="-1"/>
        <fieldUsage x="0"/>
      </fieldsUsage>
    </cacheHierarchy>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t_dim].[Department]" caption="Department" attribute="1" defaultMemberUniqueName="[dept_dim].[Department].[All]" allUniqueName="[dept_dim].[Department].[All]" dimensionUniqueName="[dept_dim]" displayFolder="" count="0" memberValueDatatype="130" unbalanced="0"/>
    <cacheHierarchy uniqueName="[dept_dim].[Dept_id]" caption="Dept_id" attribute="1" defaultMemberUniqueName="[dept_dim].[Dept_id].[All]" allUniqueName="[dept_dim].[Dept_id].[All]" dimensionUniqueName="[dept_dim]" displayFolder="" count="0" memberValueDatatype="13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130" unbalanced="0"/>
    <cacheHierarchy uniqueName="[revenue_fact].[Transac_Id]" caption="Transac_Id" attribute="1" defaultMemberUniqueName="[revenue_fact].[Transac_Id].[All]" allUniqueName="[revenue_fact].[Transac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3"/>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2"/>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8"/>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COMLAB" refreshedDate="46073.754934375" backgroundQuery="1" createdVersion="6" refreshedVersion="6" minRefreshableVersion="3" recordCount="0" supportSubquery="1" supportAdvancedDrill="1">
  <cacheSource type="external" connectionId="1"/>
  <cacheFields count="3">
    <cacheField name="[state_dim].[State].[State]" caption="State" numFmtId="0" hierarchy="18" level="1">
      <sharedItems count="1">
        <s v="California"/>
      </sharedItems>
    </cacheField>
    <cacheField name="[revenue_fact].[Date].[Date]" caption="Date" numFmtId="0" hierarchy="9" level="1">
      <sharedItems containsSemiMixedTypes="0" containsNonDate="0" containsString="0"/>
    </cacheField>
    <cacheField name="[Measures].[Sum of Revenue]" caption="Sum of Revenue" numFmtId="0" hierarchy="27" level="32767"/>
  </cacheFields>
  <cacheHierarchies count="34">
    <cacheHierarchy uniqueName="[client_dim].[Client]" caption="Client" attribute="1" defaultMemberUniqueName="[client_dim].[Client].[All]" allUniqueName="[client_dim].[Client].[All]" dimensionUniqueName="[client_dim]" displayFolder="" count="0"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t_dim].[Department]" caption="Department" attribute="1" defaultMemberUniqueName="[dept_dim].[Department].[All]" allUniqueName="[dept_dim].[Department].[All]" dimensionUniqueName="[dept_dim]" displayFolder="" count="0" memberValueDatatype="130" unbalanced="0"/>
    <cacheHierarchy uniqueName="[dept_dim].[Dept_id]" caption="Dept_id" attribute="1" defaultMemberUniqueName="[dept_dim].[Dept_id].[All]" allUniqueName="[dept_dim].[Dept_id].[All]" dimensionUniqueName="[dept_dim]" displayFolder="" count="0" memberValueDatatype="13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130" unbalanced="0"/>
    <cacheHierarchy uniqueName="[revenue_fact].[Transac_Id]" caption="Transac_Id" attribute="1" defaultMemberUniqueName="[revenue_fact].[Transac_Id].[All]" allUniqueName="[revenue_fact].[Transac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1"/>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0"/>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8"/>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COMLAB" refreshedDate="46073.754934837962" backgroundQuery="1" createdVersion="6" refreshedVersion="6" minRefreshableVersion="3" recordCount="0" supportSubquery="1" supportAdvancedDrill="1">
  <cacheSource type="external" connectionId="1"/>
  <cacheFields count="5">
    <cacheField name="[Measures].[Sum of Profit]" caption="Sum of Profit" numFmtId="0" hierarchy="28" level="32767"/>
    <cacheField name="[state_dim].[State].[State]" caption="State" numFmtId="0" hierarchy="18" level="1">
      <sharedItems count="4">
        <s v="California"/>
        <s v="New York" u="1"/>
        <s v="Florida" u="1"/>
        <s v="Texas" u="1"/>
      </sharedItems>
    </cacheField>
    <cacheField name="[Measures].[Sum of Revenue]" caption="Sum of Revenue" numFmtId="0" hierarchy="27" level="32767"/>
    <cacheField name="[client_dim].[Client].[Client]" caption="Client" numFmtId="0" level="1">
      <sharedItems containsNonDate="0" count="8">
        <s v="AT&amp;T INC."/>
        <s v="EXXON MOBIL CORPORATION"/>
        <s v="GENERAL MOTORS COMPANY"/>
        <s v="INTEL CORPORATION"/>
        <s v="MCDONALD'S CORPORATION"/>
        <s v="MICROSOFT CORPORATION"/>
        <s v="THE HOME DEPOT, INC."/>
        <s v="VERIZON COMMUNICATIONS INC."/>
      </sharedItems>
    </cacheField>
    <cacheField name="[revenue_fact].[Date].[Date]" caption="Date" numFmtId="0" hierarchy="9" level="1">
      <sharedItems containsSemiMixedTypes="0" containsNonDate="0" containsString="0"/>
    </cacheField>
  </cacheFields>
  <cacheHierarchies count="34">
    <cacheHierarchy uniqueName="[client_dim].[Client]" caption="Client" attribute="1" defaultMemberUniqueName="[client_dim].[Client].[All]" allUniqueName="[client_dim].[Client].[All]" dimensionUniqueName="[client_dim]" displayFolder="" count="2" memberValueDatatype="130" unbalanced="0">
      <fieldsUsage count="2">
        <fieldUsage x="-1"/>
        <fieldUsage x="3"/>
      </fieldsUsage>
    </cacheHierarchy>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t_dim].[Department]" caption="Department" attribute="1" defaultMemberUniqueName="[dept_dim].[Department].[All]" allUniqueName="[dept_dim].[Department].[All]" dimensionUniqueName="[dept_dim]" displayFolder="" count="0" memberValueDatatype="130" unbalanced="0"/>
    <cacheHierarchy uniqueName="[dept_dim].[Dept_id]" caption="Dept_id" attribute="1" defaultMemberUniqueName="[dept_dim].[Dept_id].[All]" allUniqueName="[dept_dim].[Dept_id].[All]" dimensionUniqueName="[dept_dim]" displayFolder="" count="0" memberValueDatatype="13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130" unbalanced="0"/>
    <cacheHierarchy uniqueName="[revenue_fact].[Transac_Id]" caption="Transac_Id" attribute="1" defaultMemberUniqueName="[revenue_fact].[Transac_Id].[All]" allUniqueName="[revenue_fact].[Transac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4"/>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8"/>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2"/>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COMLAB" refreshedDate="46073.714396064817"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t_dim].[Department]" caption="Department" attribute="1" defaultMemberUniqueName="[dept_dim].[Department].[All]" allUniqueName="[dept_dim].[Department].[All]" dimensionUniqueName="[dept_dim]" displayFolder="" count="2" memberValueDatatype="130" unbalanced="0"/>
    <cacheHierarchy uniqueName="[dept_dim].[Dept_id]" caption="Dept_id" attribute="1" defaultMemberUniqueName="[dept_dim].[Dept_id].[All]" allUniqueName="[dept_dim].[Dept_id].[All]" dimensionUniqueName="[dept_dim]"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nt_dim].[Payment]" caption="Payment" attribute="1" defaultMemberUniqueName="[payment_dim].[Payment].[All]" allUniqueName="[payment_dim].[Payment].[All]" dimensionUniqueName="[payment_dim]" displayFolder="" count="2" memberValueDatatype="130" unbalanced="0"/>
    <cacheHierarchy uniqueName="[payment_dim].[Payment_id]" caption="Payment_id" attribute="1" defaultMemberUniqueName="[payment_dim].[Payment_id].[All]" allUniqueName="[payment_dim].[Payment_id].[All]" dimensionUniqueName="[payment_dim]" displayFolder="" count="2" memberValueDatatype="130" unbalanced="0"/>
    <cacheHierarchy uniqueName="[revenue_fact].[Transac_Id]" caption="Transac_Id" attribute="1" defaultMemberUniqueName="[revenue_fact].[Transac_Id].[All]" allUniqueName="[revenue_fact].[Transac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130" unbalanced="0"/>
    <cacheHierarchy uniqueName="[revenue_fact].[State_id]" caption="State_id" attribute="1" defaultMemberUniqueName="[revenue_fact].[State_id].[All]" allUniqueName="[revenue_fact].[State_id].[All]" dimensionUniqueName="[revenue_fact]" displayFolder="" count="2" memberValueDatatype="130" unbalanced="0"/>
    <cacheHierarchy uniqueName="[revenue_fact].[Payment_id]" caption="Payment_id" attribute="1" defaultMemberUniqueName="[revenue_fact].[Payment_id].[All]" allUniqueName="[revenue_fact].[Payment_id].[All]" dimensionUniqueName="[revenue_fact]" displayFolder="" count="2" memberValueDatatype="13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cacheHierarchy uniqueName="[state_dim].[State]" caption="State" attribute="1" defaultMemberUniqueName="[state_dim].[State].[All]" allUniqueName="[state_dim].[State].[All]" dimensionUniqueName="[state_dim]" displayFolder="" count="2" memberValueDatatype="130" unbalanced="0"/>
    <cacheHierarchy uniqueName="[state_dim].[State_id]" caption="State_id" attribute="1" defaultMemberUniqueName="[state_dim].[State_id].[All]" allUniqueName="[state_dim].[State_id].[All]" dimensionUniqueName="[state_dim]" displayFolder="" count="2" memberValueDatatype="130" unbalanced="0"/>
    <cacheHierarchy uniqueName="[revenue_fact].[Date (Month Index)]" caption="Date (Month Index)" attribute="1" defaultMemberUniqueName="[revenue_fact].[Date (Month Index)].[All]" allUniqueName="[revenue_fact].[Date (Month Index)].[All]" dimensionUniqueName="[revenue_fact]"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6"/>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9"/>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3"/>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COMLAB" refreshedDate="46073.75450231481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t_dim].[Department]" caption="Department" attribute="1" defaultMemberUniqueName="[dept_dim].[Department].[All]" allUniqueName="[dept_dim].[Department].[All]" dimensionUniqueName="[dept_dim]" displayFolder="" count="2" memberValueDatatype="130" unbalanced="0"/>
    <cacheHierarchy uniqueName="[dept_dim].[Dept_id]" caption="Dept_id" attribute="1" defaultMemberUniqueName="[dept_dim].[Dept_id].[All]" allUniqueName="[dept_dim].[Dept_id].[All]" dimensionUniqueName="[dept_dim]"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nt_dim].[Payment]" caption="Payment" attribute="1" defaultMemberUniqueName="[payment_dim].[Payment].[All]" allUniqueName="[payment_dim].[Payment].[All]" dimensionUniqueName="[payment_dim]" displayFolder="" count="2" memberValueDatatype="130" unbalanced="0"/>
    <cacheHierarchy uniqueName="[payment_dim].[Payment_id]" caption="Payment_id" attribute="1" defaultMemberUniqueName="[payment_dim].[Payment_id].[All]" allUniqueName="[payment_dim].[Payment_id].[All]" dimensionUniqueName="[payment_dim]" displayFolder="" count="2" memberValueDatatype="130" unbalanced="0"/>
    <cacheHierarchy uniqueName="[revenue_fact].[Transac_Id]" caption="Transac_Id" attribute="1" defaultMemberUniqueName="[revenue_fact].[Transac_Id].[All]" allUniqueName="[revenue_fact].[Transac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130" unbalanced="0"/>
    <cacheHierarchy uniqueName="[revenue_fact].[State_id]" caption="State_id" attribute="1" defaultMemberUniqueName="[revenue_fact].[State_id].[All]" allUniqueName="[revenue_fact].[State_id].[All]" dimensionUniqueName="[revenue_fact]" displayFolder="" count="2" memberValueDatatype="130" unbalanced="0"/>
    <cacheHierarchy uniqueName="[revenue_fact].[Payment_id]" caption="Payment_id" attribute="1" defaultMemberUniqueName="[revenue_fact].[Payment_id].[All]" allUniqueName="[revenue_fact].[Payment_id].[All]" dimensionUniqueName="[revenue_fact]" displayFolder="" count="2" memberValueDatatype="13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cacheHierarchy uniqueName="[state_dim].[State]" caption="State" attribute="1" defaultMemberUniqueName="[state_dim].[State].[All]" allUniqueName="[state_dim].[State].[All]" dimensionUniqueName="[state_dim]" displayFolder="" count="2" memberValueDatatype="130" unbalanced="0"/>
    <cacheHierarchy uniqueName="[state_dim].[State_id]" caption="State_id" attribute="1" defaultMemberUniqueName="[state_dim].[State_id].[All]" allUniqueName="[state_dim].[State_id].[All]" dimensionUniqueName="[state_dim]" displayFolder="" count="2" memberValueDatatype="130" unbalanced="0"/>
    <cacheHierarchy uniqueName="[revenue_fact].[Date (Month Index)]" caption="Date (Month Index)" attribute="1" defaultMemberUniqueName="[revenue_fact].[Date (Month Index)].[All]" allUniqueName="[revenue_fact].[Date (Month Index)].[All]" dimensionUniqueName="[revenue_fact]"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t_dim]" caption="__XL_Count dept_dim" measure="1" displayFolder="" measureGroup="dep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6"/>
        </ext>
      </extLst>
    </cacheHierarchy>
    <cacheHierarchy uniqueName="[Measures].[Count of State]" caption="Count of State" measure="1" displayFolder="" measureGroup="state_dim" count="0" hidden="1">
      <extLst>
        <ext xmlns:x15="http://schemas.microsoft.com/office/spreadsheetml/2010/11/main" uri="{B97F6D7D-B522-45F9-BDA1-12C45D357490}">
          <x15:cacheHierarchy aggregatedColumn="19"/>
        </ext>
      </extLst>
    </cacheHierarchy>
    <cacheHierarchy uniqueName="[Measures].[Count of State_id]" caption="Count of State_id" measure="1" displayFolder="" measureGroup="revenue_fact" count="0" hidden="1">
      <extLst>
        <ext xmlns:x15="http://schemas.microsoft.com/office/spreadsheetml/2010/11/main" uri="{B97F6D7D-B522-45F9-BDA1-12C45D357490}">
          <x15:cacheHierarchy aggregatedColumn="13"/>
        </ext>
      </extLst>
    </cacheHierarchy>
  </cacheHierarchies>
  <kpis count="0"/>
  <dimensions count="6">
    <dimension name="client_dim" uniqueName="[client_dim]" caption="client_dim"/>
    <dimension name="dept_dim" uniqueName="[dept_dim]" caption="dep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s>
  <measureGroups count="5">
    <measureGroup name="client_dim" caption="client_dim"/>
    <measureGroup name="dept_dim" caption="dept_dim"/>
    <measureGroup name="payment_dim" caption="payment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5StateRev" cacheId="1026"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D20:E22" firstHeaderRow="1" firstDataRow="1" firstDataCol="1"/>
  <pivotFields count="3">
    <pivotField axis="axisRow" allDrilled="1" showAll="0" dataSourceSort="1" defaultAttributeDrillState="1">
      <items count="2">
        <item s="1" x="0"/>
        <item t="default"/>
      </items>
    </pivotField>
    <pivotField allDrilled="1" showAll="0" dataSourceSort="1" defaultAttributeDrillState="1"/>
    <pivotField dataField="1" showAll="0"/>
  </pivotFields>
  <rowFields count="1">
    <field x="0"/>
  </rowFields>
  <rowItems count="2">
    <i>
      <x/>
    </i>
    <i t="grand">
      <x/>
    </i>
  </rowItems>
  <colItems count="1">
    <i/>
  </colItems>
  <dataFields count="1">
    <dataField name="Sum of Revenue" fld="2" baseField="0" baseItem="0"/>
  </dataFields>
  <formats count="1">
    <format dxfId="215">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e_dim]"/>
        <x15:activeTabTopLevelEntity name="[revenue_fact]"/>
      </x15:pivotTableUISettings>
    </ext>
  </extLst>
</pivotTableDefinition>
</file>

<file path=xl/pivotTables/pivotTable2.xml><?xml version="1.0" encoding="utf-8"?>
<pivotTableDefinition xmlns="http://schemas.openxmlformats.org/spreadsheetml/2006/main" name="6. Dislplay" cacheId="1005"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22" rowHeaderCaption="Months">
  <location ref="J22:K24" firstHeaderRow="1" firstDataRow="1" firstDataCol="1"/>
  <pivotFields count="4">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2">
    <i>
      <x/>
    </i>
    <i t="grand">
      <x/>
    </i>
  </rowItems>
  <colItems count="1">
    <i/>
  </colItems>
  <dataFields count="1">
    <dataField name="Total of Profit" fld="1" baseField="0" baseItem="0" numFmtId="169"/>
  </dataFields>
  <formats count="1">
    <format dxfId="214">
      <pivotArea outline="0" collapsedLevelsAreSubtotals="1" fieldPosition="0"/>
    </format>
  </formats>
  <chartFormats count="9">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0" count="1" selected="0">
            <x v="1"/>
          </reference>
        </references>
      </pivotArea>
    </chartFormat>
    <chartFormat chart="18" format="3">
      <pivotArea type="data" outline="0" fieldPosition="0">
        <references count="2">
          <reference field="4294967294" count="1" selected="0">
            <x v="0"/>
          </reference>
          <reference field="0" count="1" selected="0">
            <x v="0"/>
          </reference>
        </references>
      </pivotArea>
    </chartFormat>
    <chartFormat chart="18" format="4">
      <pivotArea type="data" outline="0" fieldPosition="0">
        <references count="2">
          <reference field="4294967294" count="1" selected="0">
            <x v="0"/>
          </reference>
          <reference field="0"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 chart="19" format="7">
      <pivotArea type="data" outline="0" fieldPosition="0">
        <references count="2">
          <reference field="4294967294" count="1" selected="0">
            <x v="0"/>
          </reference>
          <reference field="0" count="1" selected="0">
            <x v="0"/>
          </reference>
        </references>
      </pivotArea>
    </chartFormat>
    <chartFormat chart="19" format="8">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f Profit"/>
    <pivotHierarchy dragToData="1"/>
    <pivotHierarchy dragToData="1"/>
    <pivotHierarchy dragToData="1" caption="Average of Profit"/>
    <pivotHierarchy dragToData="1"/>
    <pivotHierarchy dragToData="1"/>
  </pivotHierarchies>
  <pivotTableStyleInfo name="PivotStyleLight16" showRowHeaders="1" showColHeaders="1" showRowStripes="0" showColStripes="0" showLastColumn="1"/>
  <filters count="1">
    <filter fld="3" type="dateBetween" evalOrder="-1" id="6"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pivotTableUISettings>
    </ext>
  </extLst>
</pivotTableDefinition>
</file>

<file path=xl/pivotTables/pivotTable3.xml><?xml version="1.0" encoding="utf-8"?>
<pivotTableDefinition xmlns="http://schemas.openxmlformats.org/spreadsheetml/2006/main" name="p5-1TOP 5" cacheId="102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2" rowHeaderCaption="Client Revenue">
  <location ref="G22:H24" firstHeaderRow="1" firstDataRow="1" firstDataCol="1"/>
  <pivotFields count="4">
    <pivotField axis="axisRow" allDrilled="1" showAll="0" measureFilter="1" dataSourceSort="1" defaultAttributeDrillState="1">
      <items count="7">
        <item x="0"/>
        <item x="1"/>
        <item x="2"/>
        <item x="3"/>
        <item x="4"/>
        <item x="5"/>
        <item t="default"/>
      </items>
    </pivotField>
    <pivotField dataField="1" showAll="0"/>
    <pivotField allDrilled="1" showAll="0" dataSourceSort="1" defaultAttributeDrillState="1"/>
    <pivotField allDrilled="1" showAll="0" dataSourceSort="1" defaultAttributeDrillState="1"/>
  </pivotFields>
  <rowFields count="1">
    <field x="0"/>
  </rowFields>
  <rowItems count="2">
    <i>
      <x/>
    </i>
    <i t="grand">
      <x/>
    </i>
  </rowItems>
  <colItems count="1">
    <i/>
  </colItems>
  <dataFields count="1">
    <dataField name="Total of Revenue" fld="1" baseField="0" baseItem="0"/>
  </dataFields>
  <formats count="1">
    <format dxfId="228">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0" count="5">
              <x v="1"/>
              <x v="2"/>
              <x v="3"/>
              <x v="4"/>
              <x v="5"/>
            </reference>
          </references>
        </pivotArea>
      </pivotAreas>
    </conditionalFormat>
  </conditionalFormats>
  <chartFormats count="2">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f Revenue"/>
    <pivotHierarchy dragToData="1"/>
    <pivotHierarchy dragToData="1"/>
    <pivotHierarchy dragToData="1"/>
    <pivotHierarchy dragToData="1" caption="Average of Profit"/>
    <pivotHierarchy dragToData="1"/>
    <pivotHierarchy dragToData="1"/>
  </pivotHierarchies>
  <pivotTableStyleInfo name="PivotStyleLight16" showRowHeaders="1" showColHeaders="1" showRowStripes="0" showColStripes="0" showLastColumn="1"/>
  <filters count="2">
    <filter fld="3" type="dateBetween" evalOrder="-1" id="7"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0" type="count" id="1" iMeasureHier="27">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client_dim]"/>
      </x15:pivotTableUISettings>
    </ext>
  </extLst>
</pivotTableDefinition>
</file>

<file path=xl/pivotTables/pivotTable4.xml><?xml version="1.0" encoding="utf-8"?>
<pivotTableDefinition xmlns="http://schemas.openxmlformats.org/spreadsheetml/2006/main" name="p5StatewithCLientrev" cacheId="1029"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47">
  <location ref="G12:I14" firstHeaderRow="0" firstDataRow="1" firstDataCol="1"/>
  <pivotFields count="5">
    <pivotField dataField="1" showAll="0"/>
    <pivotField axis="axisRow" allDrilled="1" showAll="0" sortType="descending" defaultAttributeDrillState="1">
      <items count="5">
        <item s="1" x="0" e="0"/>
        <item x="1" e="0"/>
        <item x="2" e="0"/>
        <item x="3" e="0"/>
        <item t="default"/>
      </items>
      <autoSortScope>
        <pivotArea dataOnly="0" outline="0" fieldPosition="0">
          <references count="1">
            <reference field="4294967294" count="1" selected="0">
              <x v="1"/>
            </reference>
          </references>
        </pivotArea>
      </autoSortScope>
    </pivotField>
    <pivotField dataField="1" showAll="0"/>
    <pivotField axis="axisRow" allDrilled="1" showAll="0" dataSourceSort="1" defaultAttributeDrillState="1">
      <items count="9">
        <item x="0"/>
        <item x="1"/>
        <item x="2"/>
        <item x="3"/>
        <item x="4"/>
        <item x="5"/>
        <item x="6"/>
        <item x="7"/>
        <item t="default"/>
      </items>
    </pivotField>
    <pivotField allDrilled="1" showAll="0" dataSourceSort="1" defaultAttributeDrillState="1"/>
  </pivotFields>
  <rowFields count="2">
    <field x="1"/>
    <field x="3"/>
  </rowFields>
  <rowItems count="2">
    <i>
      <x/>
    </i>
    <i t="grand">
      <x/>
    </i>
  </rowItems>
  <colFields count="1">
    <field x="-2"/>
  </colFields>
  <colItems count="2">
    <i>
      <x/>
    </i>
    <i i="1">
      <x v="1"/>
    </i>
  </colItems>
  <dataFields count="2">
    <dataField name="Sum of Profit" fld="0" baseField="0" baseItem="0" numFmtId="169"/>
    <dataField name="Sum of Revenue" fld="2" baseField="0" baseItem="0"/>
  </dataFields>
  <formats count="1">
    <format dxfId="229">
      <pivotArea outline="0" collapsedLevelsAreSubtotals="1" fieldPosition="0"/>
    </format>
  </formats>
  <conditionalFormats count="2">
    <conditionalFormat priority="5">
      <pivotAreas count="4">
        <pivotArea type="data" collapsedLevelsAreSubtotals="1" fieldPosition="0">
          <references count="2">
            <reference field="4294967294" count="1" selected="0">
              <x v="1"/>
            </reference>
            <reference field="1" count="1">
              <x v="3"/>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2">
            <reference field="4294967294" count="1" selected="0">
              <x v="1"/>
            </reference>
            <reference field="1" count="1">
              <x v="0"/>
            </reference>
          </references>
        </pivotArea>
        <pivotArea type="data" collapsedLevelsAreSubtotals="1" fieldPosition="0">
          <references count="2">
            <reference field="4294967294" count="1" selected="0">
              <x v="1"/>
            </reference>
            <reference field="1" count="1">
              <x v="2"/>
            </reference>
          </references>
        </pivotArea>
      </pivotAreas>
    </conditionalFormat>
    <conditionalFormat priority="4">
      <pivotAreas count="4">
        <pivotArea type="data" collapsedLevelsAreSubtotals="1" fieldPosition="0">
          <references count="2">
            <reference field="4294967294" count="1" selected="0">
              <x v="0"/>
            </reference>
            <reference field="1" count="1">
              <x v="3"/>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2">
            <reference field="4294967294" count="1" selected="0">
              <x v="0"/>
            </reference>
            <reference field="1" count="1">
              <x v="2"/>
            </reference>
          </references>
        </pivotArea>
      </pivotAreas>
    </conditionalFormat>
  </conditionalFormats>
  <chartFormats count="2">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6"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2">
    <rowHierarchyUsage hierarchyUsage="18"/>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activeTabTopLevelEntity name="[client_dim]"/>
      </x15:pivotTableUISettings>
    </ext>
  </extLst>
</pivotTableDefinition>
</file>

<file path=xl/pivotTables/pivotTable5.xml><?xml version="1.0" encoding="utf-8"?>
<pivotTableDefinition xmlns="http://schemas.openxmlformats.org/spreadsheetml/2006/main" name="p4StatewithHighest" cacheId="1020"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20">
  <location ref="D11:E13" firstHeaderRow="1" firstDataRow="1" firstDataCol="1"/>
  <pivotFields count="3">
    <pivotField axis="axisRow" allDrilled="1" showAll="0" sortType="descending" defaultAttributeDrillState="1">
      <items count="5">
        <item s="1" x="0"/>
        <item x="1"/>
        <item x="2"/>
        <item x="3"/>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2">
    <i>
      <x/>
    </i>
    <i t="grand">
      <x/>
    </i>
  </rowItems>
  <colItems count="1">
    <i/>
  </colItems>
  <dataFields count="1">
    <dataField name="Sum of Revenue" fld="1" baseField="0" baseItem="0"/>
  </dataFields>
  <formats count="1">
    <format dxfId="227">
      <pivotArea outline="0" collapsedLevelsAreSubtotals="1" fieldPosition="0"/>
    </format>
  </formats>
  <conditionalFormats count="1">
    <conditionalFormat priority="7">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1">
    <chartFormat chart="19"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e_dim]"/>
        <x15:activeTabTopLevelEntity name="[revenue_fact]"/>
      </x15:pivotTableUISettings>
    </ext>
  </extLst>
</pivotTableDefinition>
</file>

<file path=xl/pivotTables/pivotTable6.xml><?xml version="1.0" encoding="utf-8"?>
<pivotTableDefinition xmlns="http://schemas.openxmlformats.org/spreadsheetml/2006/main" name="p3-1ave_pmargin" cacheId="1017"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J6:J7"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rofit Margin" fld="0" subtotal="average" baseField="0" baseItem="391372800" numFmtId="9"/>
  </dataFields>
  <formats count="6">
    <format dxfId="218">
      <pivotArea outline="0" collapsedLevelsAreSubtotals="1" fieldPosition="0"/>
    </format>
    <format dxfId="219">
      <pivotArea outline="0" collapsedLevelsAreSubtotals="1" fieldPosition="0"/>
    </format>
    <format dxfId="220">
      <pivotArea outline="0" collapsedLevelsAreSubtotals="1" fieldPosition="0"/>
    </format>
    <format dxfId="221">
      <pivotArea outline="0" collapsedLevelsAreSubtotals="1" fieldPosition="0"/>
    </format>
    <format dxfId="222">
      <pivotArea outline="0" collapsedLevelsAreSubtotals="1" fieldPosition="0"/>
    </format>
    <format dxfId="223">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Margin"/>
    <pivotHierarchy dragToData="1" caption="Average of Profit"/>
    <pivotHierarchy dragToData="1"/>
    <pivotHierarchy dragToData="1"/>
  </pivotHierarchies>
  <pivotTableStyleInfo name="PivotStyleLight16" showRowHeaders="1" showColHeaders="1" showRowStripes="0" showColStripes="0" showLastColumn="1"/>
  <filters count="1">
    <filter fld="2" type="dateBetween" evalOrder="-1" id="6"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7.xml><?xml version="1.0" encoding="utf-8"?>
<pivotTableDefinition xmlns="http://schemas.openxmlformats.org/spreadsheetml/2006/main" name="p3_AveProfit" cacheId="101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H6:H7"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rofit" fld="0" subtotal="average" baseField="0" baseItem="391372800" numFmtId="169"/>
  </dataFields>
  <formats count="1">
    <format dxfId="224">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ofit"/>
    <pivotHierarchy dragToData="1"/>
    <pivotHierarchy dragToData="1"/>
  </pivotHierarchies>
  <pivotTableStyleInfo name="PivotStyleLight16" showRowHeaders="1" showColHeaders="1" showRowStripes="0" showColStripes="0" showLastColumn="1"/>
  <filters count="1">
    <filter fld="2" type="dateBetween" evalOrder="-1" id="6"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8.xml><?xml version="1.0" encoding="utf-8"?>
<pivotTableDefinition xmlns="http://schemas.openxmlformats.org/spreadsheetml/2006/main" name="p2_sumprofit" cacheId="101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F6:F7"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Sum of Profit" fld="0" baseField="0" baseItem="0" numFmtId="178"/>
  </dataFields>
  <formats count="3">
    <format dxfId="225">
      <pivotArea outline="0" collapsedLevelsAreSubtotals="1" fieldPosition="0"/>
    </format>
    <format dxfId="217">
      <pivotArea outline="0" collapsedLevelsAreSubtotals="1" fieldPosition="0"/>
    </format>
    <format dxfId="216">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9.xml><?xml version="1.0" encoding="utf-8"?>
<pivotTableDefinition xmlns="http://schemas.openxmlformats.org/spreadsheetml/2006/main" name="p1_sumrev" cacheId="100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D6:D7"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Sum of Revenue" fld="0" baseField="0" baseItem="0" numFmtId="169"/>
  </dataFields>
  <formats count="1">
    <format dxfId="226">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revenue_fact].[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_dim].[State]">
  <pivotTables>
    <pivotTable tabId="10" name="p5StateRev"/>
    <pivotTable tabId="10" name="p5-1TOP 5"/>
    <pivotTable tabId="10" name="6. Dislplay"/>
    <pivotTable tabId="10" name="p1_sumrev"/>
    <pivotTable tabId="10" name="p2_sumprofit"/>
    <pivotTable tabId="10" name="p3_AveProfit"/>
    <pivotTable tabId="10" name="p3-1ave_pmargin"/>
    <pivotTable tabId="10" name="p4StatewithHighest"/>
    <pivotTable tabId="10" name="p5StatewithCLientrev"/>
  </pivotTables>
  <data>
    <olap pivotCacheId="1">
      <levels count="2">
        <level uniqueName="[state_dim].[State].[(All)]" sourceCaption="(All)" count="0"/>
        <level uniqueName="[state_dim].[State].[State]" sourceCaption="State" count="5">
          <ranges>
            <range startItem="0">
              <i n="[state_dim].[State].&amp;[California]" c="California"/>
              <i n="[state_dim].[State].&amp;[Florida]" c="Florida"/>
              <i n="[state_dim].[State].&amp;[New York]" c="New York"/>
              <i n="[state_dim].[State].&amp;[Texas]" c="Texas"/>
              <i n="[state_dim].[State].&amp;" c="(blank)" nd="1"/>
            </range>
          </ranges>
        </level>
      </levels>
      <selections count="1">
        <selection n="[state_dim].[State].&amp;[Californ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lect State" cache="Slicer_State" caption="Select State" level="1" rowHeight="257175"/>
</slicers>
</file>

<file path=xl/tables/table1.xml><?xml version="1.0" encoding="utf-8"?>
<table xmlns="http://schemas.openxmlformats.org/spreadsheetml/2006/main" id="1" name="payment_dim" displayName="payment_dim" ref="A1:B6" totalsRowShown="0" headerRowDxfId="248">
  <autoFilter ref="A1:B6"/>
  <tableColumns count="2">
    <tableColumn id="1" name="Payment" dataDxfId="247"/>
    <tableColumn id="2" name="Payment_id"/>
  </tableColumns>
  <tableStyleInfo name="TableStyleMedium2" showFirstColumn="0" showLastColumn="0" showRowStripes="1" showColumnStripes="0"/>
</table>
</file>

<file path=xl/tables/table2.xml><?xml version="1.0" encoding="utf-8"?>
<table xmlns="http://schemas.openxmlformats.org/spreadsheetml/2006/main" id="2" name="state_dim" displayName="state_dim" ref="A1:B5" totalsRowShown="0">
  <autoFilter ref="A1:B5"/>
  <tableColumns count="2">
    <tableColumn id="1" name="State" dataDxfId="246"/>
    <tableColumn id="2" name="State_id"/>
  </tableColumns>
  <tableStyleInfo name="TableStyleMedium2" showFirstColumn="0" showLastColumn="0" showRowStripes="1" showColumnStripes="0"/>
</table>
</file>

<file path=xl/tables/table3.xml><?xml version="1.0" encoding="utf-8"?>
<table xmlns="http://schemas.openxmlformats.org/spreadsheetml/2006/main" id="3" name="dept_dim" displayName="dept_dim" ref="A1:B5" totalsRowShown="0">
  <autoFilter ref="A1:B5"/>
  <tableColumns count="2">
    <tableColumn id="1" name="Department" dataDxfId="245"/>
    <tableColumn id="2" name="Dept_id"/>
  </tableColumns>
  <tableStyleInfo name="TableStyleMedium2" showFirstColumn="0" showLastColumn="0" showRowStripes="1" showColumnStripes="0"/>
</table>
</file>

<file path=xl/tables/table4.xml><?xml version="1.0" encoding="utf-8"?>
<table xmlns="http://schemas.openxmlformats.org/spreadsheetml/2006/main" id="4" name="client_dim" displayName="client_dim" ref="A1:D29" totalsRowShown="0" headerRowDxfId="244" dataDxfId="243">
  <autoFilter ref="A1:D29"/>
  <tableColumns count="4">
    <tableColumn id="1" name="Client" dataDxfId="242"/>
    <tableColumn id="2" name="Client_id" dataDxfId="241"/>
    <tableColumn id="3" name="First Name" dataDxfId="240"/>
    <tableColumn id="4" name="Last Name" dataDxfId="239"/>
  </tableColumns>
  <tableStyleInfo name="TableStyleMedium2" showFirstColumn="0" showLastColumn="0" showRowStripes="1" showColumnStripes="0"/>
</table>
</file>

<file path=xl/tables/table5.xml><?xml version="1.0" encoding="utf-8"?>
<table xmlns="http://schemas.openxmlformats.org/spreadsheetml/2006/main" id="5" name="revenue_fact" displayName="revenue_fact" ref="A1:I1048576" totalsRowShown="0" headerRowDxfId="230">
  <autoFilter ref="A1:I1048576"/>
  <tableColumns count="9">
    <tableColumn id="1" name="Transac_Id"/>
    <tableColumn id="2" name="Date" dataDxfId="238"/>
    <tableColumn id="3" name="Client_id" dataDxfId="237"/>
    <tableColumn id="4" name="Department_id" dataDxfId="236"/>
    <tableColumn id="5" name="State_id" dataDxfId="235"/>
    <tableColumn id="6" name="Payment_id" dataDxfId="234"/>
    <tableColumn id="7" name="Revenue" dataDxfId="233"/>
    <tableColumn id="8" name="Profit" dataDxfId="232"/>
    <tableColumn id="10" name="Profit Margin" dataDxfId="23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name="Timeline_Date" sourceName="[revenue_fact].[Date]">
  <pivotTables>
    <pivotTable tabId="10" name="6. Dislplay"/>
    <pivotTable tabId="10" name="p1_sumrev"/>
    <pivotTable tabId="10" name="p2_sumprofit"/>
    <pivotTable tabId="10" name="p3_AveProfit"/>
    <pivotTable tabId="10" name="p3-1ave_pmargin"/>
    <pivotTable tabId="10" name="p4StatewithHighest"/>
    <pivotTable tabId="10" name="p5-1TOP 5"/>
    <pivotTable tabId="10" name="p5StateRev"/>
    <pivotTable tabId="10" name="p5StatewithCLientrev"/>
  </pivotTables>
  <state minimalRefreshVersion="6" lastRefreshVersion="6" pivotCacheId="2" filterType="dateBetween">
    <selection startDate="2023-05-01T00:00:00" endDate="2023-05-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Timeline_Date" caption="Date" level="2" selectionLevel="2" scrollPosition="2023-03-2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topLeftCell="E22" zoomScale="85" zoomScaleNormal="85" workbookViewId="0">
      <selection activeCell="D20" sqref="D20"/>
    </sheetView>
  </sheetViews>
  <sheetFormatPr defaultRowHeight="15.75" x14ac:dyDescent="0.25"/>
  <cols>
    <col min="4" max="4" width="13.125" customWidth="1"/>
    <col min="5" max="5" width="15.25" customWidth="1"/>
    <col min="6" max="6" width="12.25" customWidth="1"/>
    <col min="7" max="7" width="13.125" customWidth="1"/>
    <col min="8" max="8" width="12.25" customWidth="1"/>
    <col min="9" max="9" width="15.25" bestFit="1" customWidth="1"/>
    <col min="10" max="10" width="22.5" customWidth="1"/>
    <col min="11" max="11" width="13" customWidth="1"/>
    <col min="12" max="14" width="10.625" customWidth="1"/>
    <col min="15" max="15" width="10.625" bestFit="1" customWidth="1"/>
    <col min="16" max="16" width="11" customWidth="1"/>
    <col min="17" max="17" width="10.625" bestFit="1" customWidth="1"/>
    <col min="18" max="18" width="8" customWidth="1"/>
    <col min="19" max="19" width="11" bestFit="1" customWidth="1"/>
  </cols>
  <sheetData>
    <row r="1" spans="1:17" x14ac:dyDescent="0.25">
      <c r="A1" s="33"/>
      <c r="B1" s="33"/>
      <c r="C1" s="33"/>
      <c r="D1" s="34" t="s">
        <v>264</v>
      </c>
      <c r="E1" s="33"/>
      <c r="F1" s="33"/>
      <c r="G1" s="33"/>
      <c r="H1" s="33"/>
      <c r="I1" s="33"/>
      <c r="J1" s="33"/>
      <c r="K1" s="33"/>
      <c r="L1" s="33"/>
      <c r="M1" s="33"/>
      <c r="N1" s="33"/>
      <c r="O1" s="33"/>
      <c r="P1" s="33"/>
      <c r="Q1" s="33"/>
    </row>
    <row r="2" spans="1:17" x14ac:dyDescent="0.25">
      <c r="A2" s="33"/>
      <c r="B2" s="33"/>
      <c r="C2" s="33"/>
      <c r="D2" s="33"/>
      <c r="E2" s="33"/>
      <c r="F2" s="33"/>
      <c r="G2" s="33"/>
      <c r="H2" s="33"/>
      <c r="I2" s="33"/>
      <c r="J2" s="33"/>
      <c r="K2" s="33"/>
      <c r="L2" s="33"/>
      <c r="M2" s="33"/>
      <c r="N2" s="33"/>
      <c r="O2" s="33"/>
      <c r="P2" s="33"/>
      <c r="Q2" s="33"/>
    </row>
    <row r="3" spans="1:17" x14ac:dyDescent="0.25">
      <c r="A3" s="33"/>
      <c r="B3" s="33"/>
      <c r="C3" s="33"/>
      <c r="D3" s="33"/>
      <c r="E3" s="33"/>
      <c r="F3" s="33"/>
      <c r="G3" s="33"/>
      <c r="H3" s="33"/>
      <c r="I3" s="33"/>
      <c r="J3" s="33"/>
      <c r="K3" s="33"/>
      <c r="L3" s="33"/>
      <c r="M3" s="33"/>
      <c r="N3" s="33"/>
      <c r="O3" s="33"/>
      <c r="P3" s="33"/>
      <c r="Q3" s="33"/>
    </row>
    <row r="4" spans="1:17" x14ac:dyDescent="0.25">
      <c r="A4" s="33"/>
      <c r="B4" s="33"/>
      <c r="C4" s="33"/>
      <c r="D4" s="33"/>
      <c r="E4" s="33"/>
      <c r="F4" s="33"/>
      <c r="G4" s="33"/>
      <c r="H4" s="33"/>
      <c r="I4" s="33"/>
      <c r="J4" s="33"/>
      <c r="K4" s="33"/>
      <c r="L4" s="33"/>
      <c r="M4" s="33"/>
      <c r="N4" s="33"/>
      <c r="O4" s="33"/>
      <c r="P4" s="33"/>
      <c r="Q4" s="33"/>
    </row>
    <row r="5" spans="1:17" x14ac:dyDescent="0.25">
      <c r="A5" s="33"/>
      <c r="B5" s="33"/>
      <c r="C5" s="33"/>
      <c r="D5" s="31" t="s">
        <v>247</v>
      </c>
      <c r="F5" s="31" t="s">
        <v>248</v>
      </c>
      <c r="H5" s="31" t="s">
        <v>250</v>
      </c>
      <c r="J5" s="31" t="s">
        <v>251</v>
      </c>
    </row>
    <row r="6" spans="1:17" x14ac:dyDescent="0.25">
      <c r="A6" s="33"/>
      <c r="B6" s="33"/>
      <c r="C6" s="33"/>
      <c r="D6" t="s">
        <v>244</v>
      </c>
      <c r="F6" t="s">
        <v>245</v>
      </c>
      <c r="H6" t="s">
        <v>249</v>
      </c>
      <c r="J6" t="s">
        <v>246</v>
      </c>
    </row>
    <row r="7" spans="1:17" x14ac:dyDescent="0.25">
      <c r="A7" s="33"/>
      <c r="B7" s="33"/>
      <c r="C7" s="33"/>
      <c r="D7" s="30">
        <v>4500</v>
      </c>
      <c r="F7" s="39">
        <v>780</v>
      </c>
      <c r="H7" s="30">
        <v>780</v>
      </c>
      <c r="J7" s="14">
        <v>0.17333333333333334</v>
      </c>
    </row>
    <row r="8" spans="1:17" x14ac:dyDescent="0.25">
      <c r="A8" s="33"/>
      <c r="B8" s="33"/>
      <c r="C8" s="33"/>
    </row>
    <row r="9" spans="1:17" x14ac:dyDescent="0.25">
      <c r="A9" s="33"/>
      <c r="B9" s="33"/>
      <c r="C9" s="33"/>
    </row>
    <row r="10" spans="1:17" x14ac:dyDescent="0.25">
      <c r="A10" s="33"/>
      <c r="B10" s="33"/>
      <c r="C10" s="33"/>
      <c r="D10" s="31" t="s">
        <v>254</v>
      </c>
    </row>
    <row r="11" spans="1:17" x14ac:dyDescent="0.25">
      <c r="A11" s="33"/>
      <c r="B11" s="33"/>
      <c r="C11" s="33"/>
      <c r="D11" s="29" t="s">
        <v>252</v>
      </c>
      <c r="E11" t="s">
        <v>244</v>
      </c>
      <c r="G11" s="31" t="s">
        <v>257</v>
      </c>
    </row>
    <row r="12" spans="1:17" x14ac:dyDescent="0.25">
      <c r="A12" s="33"/>
      <c r="B12" s="33"/>
      <c r="C12" s="33"/>
      <c r="D12" s="32" t="s">
        <v>166</v>
      </c>
      <c r="E12" s="30">
        <v>4500</v>
      </c>
      <c r="G12" s="29" t="s">
        <v>252</v>
      </c>
      <c r="H12" t="s">
        <v>245</v>
      </c>
      <c r="I12" t="s">
        <v>244</v>
      </c>
    </row>
    <row r="13" spans="1:17" x14ac:dyDescent="0.25">
      <c r="A13" s="33"/>
      <c r="B13" s="33"/>
      <c r="C13" s="33"/>
      <c r="D13" s="32" t="s">
        <v>253</v>
      </c>
      <c r="E13" s="30">
        <v>4500</v>
      </c>
      <c r="G13" s="32" t="s">
        <v>166</v>
      </c>
      <c r="H13" s="30">
        <v>780</v>
      </c>
      <c r="I13" s="30">
        <v>4500</v>
      </c>
    </row>
    <row r="14" spans="1:17" x14ac:dyDescent="0.25">
      <c r="A14" s="33"/>
      <c r="B14" s="33"/>
      <c r="C14" s="33"/>
      <c r="G14" s="32" t="s">
        <v>253</v>
      </c>
      <c r="H14" s="30">
        <v>780</v>
      </c>
      <c r="I14" s="30">
        <v>4500</v>
      </c>
    </row>
    <row r="15" spans="1:17" x14ac:dyDescent="0.25">
      <c r="A15" s="33"/>
      <c r="B15" s="33"/>
      <c r="C15" s="33"/>
    </row>
    <row r="16" spans="1:17" x14ac:dyDescent="0.25">
      <c r="A16" s="33"/>
      <c r="B16" s="33"/>
      <c r="C16" s="33"/>
    </row>
    <row r="17" spans="1:16" x14ac:dyDescent="0.25">
      <c r="A17" s="33"/>
      <c r="B17" s="33"/>
      <c r="C17" s="33"/>
      <c r="J17" s="14"/>
      <c r="P17" s="39"/>
    </row>
    <row r="18" spans="1:16" x14ac:dyDescent="0.25">
      <c r="A18" s="33"/>
      <c r="B18" s="33"/>
      <c r="C18" s="33"/>
    </row>
    <row r="19" spans="1:16" x14ac:dyDescent="0.25">
      <c r="A19" s="33"/>
      <c r="B19" s="33"/>
      <c r="C19" s="33"/>
      <c r="D19" s="32" t="s">
        <v>266</v>
      </c>
    </row>
    <row r="20" spans="1:16" x14ac:dyDescent="0.25">
      <c r="A20" s="33"/>
      <c r="B20" s="33"/>
      <c r="C20" s="33"/>
      <c r="D20" s="29" t="s">
        <v>252</v>
      </c>
      <c r="E20" t="s">
        <v>244</v>
      </c>
    </row>
    <row r="21" spans="1:16" x14ac:dyDescent="0.25">
      <c r="A21" s="33"/>
      <c r="B21" s="33"/>
      <c r="C21" s="33"/>
      <c r="D21" s="32" t="s">
        <v>166</v>
      </c>
      <c r="E21" s="42">
        <v>4500</v>
      </c>
      <c r="G21" s="31" t="s">
        <v>258</v>
      </c>
      <c r="J21" s="31" t="s">
        <v>260</v>
      </c>
    </row>
    <row r="22" spans="1:16" x14ac:dyDescent="0.25">
      <c r="A22" s="33"/>
      <c r="B22" s="33"/>
      <c r="C22" s="33"/>
      <c r="D22" s="32" t="s">
        <v>253</v>
      </c>
      <c r="E22" s="42">
        <v>4500</v>
      </c>
      <c r="G22" s="29" t="s">
        <v>259</v>
      </c>
      <c r="H22" t="s">
        <v>255</v>
      </c>
      <c r="J22" s="29" t="s">
        <v>263</v>
      </c>
      <c r="K22" t="s">
        <v>262</v>
      </c>
    </row>
    <row r="23" spans="1:16" x14ac:dyDescent="0.25">
      <c r="A23" s="33"/>
      <c r="B23" s="33"/>
      <c r="C23" s="33"/>
      <c r="G23" s="32" t="s">
        <v>256</v>
      </c>
      <c r="H23" s="30">
        <v>4500</v>
      </c>
      <c r="J23" s="32" t="s">
        <v>261</v>
      </c>
      <c r="K23" s="30">
        <v>780</v>
      </c>
    </row>
    <row r="24" spans="1:16" x14ac:dyDescent="0.25">
      <c r="A24" s="33"/>
      <c r="B24" s="33"/>
      <c r="C24" s="33"/>
      <c r="G24" s="32" t="s">
        <v>253</v>
      </c>
      <c r="H24" s="30">
        <v>4500</v>
      </c>
      <c r="J24" s="32" t="s">
        <v>253</v>
      </c>
      <c r="K24" s="30">
        <v>780</v>
      </c>
    </row>
    <row r="25" spans="1:16" x14ac:dyDescent="0.25">
      <c r="A25" s="33"/>
      <c r="B25" s="33"/>
      <c r="C25" s="33"/>
    </row>
    <row r="26" spans="1:16" x14ac:dyDescent="0.25">
      <c r="A26" s="33"/>
      <c r="B26" s="33"/>
      <c r="C26" s="33"/>
    </row>
    <row r="27" spans="1:16" x14ac:dyDescent="0.25">
      <c r="A27" s="33"/>
      <c r="B27" s="33"/>
      <c r="C27" s="33"/>
    </row>
    <row r="28" spans="1:16" x14ac:dyDescent="0.25">
      <c r="A28" s="33"/>
      <c r="B28" s="33"/>
      <c r="C28" s="33"/>
    </row>
    <row r="29" spans="1:16" x14ac:dyDescent="0.25">
      <c r="A29" s="33"/>
      <c r="B29" s="33"/>
      <c r="C29" s="33"/>
    </row>
    <row r="30" spans="1:16" x14ac:dyDescent="0.25">
      <c r="A30" s="33"/>
      <c r="B30" s="33"/>
      <c r="C30" s="33"/>
    </row>
    <row r="31" spans="1:16" x14ac:dyDescent="0.25">
      <c r="A31" s="33"/>
      <c r="B31" s="33"/>
      <c r="C31" s="33"/>
    </row>
    <row r="32" spans="1:16" x14ac:dyDescent="0.25">
      <c r="A32" s="33"/>
      <c r="B32" s="33"/>
      <c r="C32" s="33"/>
    </row>
    <row r="33" spans="1:3" x14ac:dyDescent="0.25">
      <c r="A33" s="33"/>
      <c r="B33" s="33"/>
      <c r="C33" s="33"/>
    </row>
    <row r="34" spans="1:3" x14ac:dyDescent="0.25">
      <c r="A34" s="33"/>
      <c r="B34" s="33"/>
      <c r="C34" s="33"/>
    </row>
    <row r="35" spans="1:3" x14ac:dyDescent="0.25">
      <c r="A35" s="33"/>
      <c r="B35" s="33"/>
      <c r="C35" s="33"/>
    </row>
    <row r="36" spans="1:3" x14ac:dyDescent="0.25">
      <c r="A36" s="33"/>
      <c r="B36" s="33"/>
      <c r="C36" s="33"/>
    </row>
    <row r="37" spans="1:3" x14ac:dyDescent="0.25">
      <c r="A37" s="33"/>
      <c r="B37" s="33"/>
      <c r="C37" s="33"/>
    </row>
    <row r="38" spans="1:3" x14ac:dyDescent="0.25">
      <c r="A38" s="33"/>
      <c r="B38" s="33"/>
      <c r="C38" s="33"/>
    </row>
    <row r="39" spans="1:3" x14ac:dyDescent="0.25">
      <c r="A39" s="33"/>
      <c r="B39" s="33"/>
      <c r="C39" s="33"/>
    </row>
    <row r="40" spans="1:3" x14ac:dyDescent="0.25">
      <c r="A40" s="33"/>
      <c r="B40" s="33"/>
      <c r="C40" s="33"/>
    </row>
    <row r="41" spans="1:3" x14ac:dyDescent="0.25">
      <c r="A41" s="33"/>
      <c r="B41" s="33"/>
      <c r="C41" s="33"/>
    </row>
    <row r="42" spans="1:3" x14ac:dyDescent="0.25">
      <c r="A42" s="33"/>
      <c r="B42" s="33"/>
      <c r="C42" s="33"/>
    </row>
    <row r="43" spans="1:3" x14ac:dyDescent="0.25">
      <c r="A43" s="33"/>
      <c r="B43" s="33"/>
      <c r="C43" s="33"/>
    </row>
    <row r="44" spans="1:3" x14ac:dyDescent="0.25">
      <c r="A44" s="33"/>
      <c r="B44" s="33"/>
      <c r="C44" s="33"/>
    </row>
    <row r="45" spans="1:3" x14ac:dyDescent="0.25">
      <c r="A45" s="33"/>
      <c r="B45" s="33"/>
      <c r="C45" s="33"/>
    </row>
    <row r="46" spans="1:3" x14ac:dyDescent="0.25">
      <c r="A46" s="33"/>
      <c r="B46" s="33"/>
      <c r="C46" s="33"/>
    </row>
    <row r="47" spans="1:3" x14ac:dyDescent="0.25">
      <c r="A47" s="33"/>
      <c r="B47" s="33"/>
      <c r="C47" s="33"/>
    </row>
    <row r="48" spans="1:3" x14ac:dyDescent="0.25">
      <c r="A48" s="33"/>
      <c r="B48" s="33"/>
      <c r="C48" s="33"/>
    </row>
  </sheetData>
  <mergeCells count="2">
    <mergeCell ref="D1:Q4"/>
    <mergeCell ref="A1:C48"/>
  </mergeCells>
  <conditionalFormatting pivot="1" sqref="E12">
    <cfRule type="dataBar" priority="7">
      <dataBar>
        <cfvo type="min"/>
        <cfvo type="max"/>
        <color rgb="FFFFB628"/>
      </dataBar>
      <extLst>
        <ext xmlns:x14="http://schemas.microsoft.com/office/spreadsheetml/2009/9/main" uri="{B025F937-C7B1-47D3-B67F-A62EFF666E3E}">
          <x14:id>{04F5B7C7-52D2-44CA-81A9-A0B2FBE149CB}</x14:id>
        </ext>
      </extLst>
    </cfRule>
  </conditionalFormatting>
  <conditionalFormatting pivot="1" sqref="I13">
    <cfRule type="dataBar" priority="5">
      <dataBar>
        <cfvo type="min"/>
        <cfvo type="max"/>
        <color rgb="FF008AEF"/>
      </dataBar>
      <extLst>
        <ext xmlns:x14="http://schemas.microsoft.com/office/spreadsheetml/2009/9/main" uri="{B025F937-C7B1-47D3-B67F-A62EFF666E3E}">
          <x14:id>{9E237ABC-242D-47C3-9010-294DE9703C2F}</x14:id>
        </ext>
      </extLst>
    </cfRule>
  </conditionalFormatting>
  <conditionalFormatting pivot="1" sqref="H13">
    <cfRule type="dataBar" priority="4">
      <dataBar>
        <cfvo type="min"/>
        <cfvo type="max"/>
        <color rgb="FF008AEF"/>
      </dataBar>
      <extLst>
        <ext xmlns:x14="http://schemas.microsoft.com/office/spreadsheetml/2009/9/main" uri="{B025F937-C7B1-47D3-B67F-A62EFF666E3E}">
          <x14:id>{A6D4E072-DC73-4EFE-BE2E-33A3E5C6E718}</x14:id>
        </ext>
      </extLst>
    </cfRule>
  </conditionalFormatting>
  <conditionalFormatting pivot="1">
    <cfRule type="dataBar" priority="3">
      <dataBar>
        <cfvo type="min"/>
        <cfvo type="max"/>
        <color rgb="FF008AEF"/>
      </dataBar>
      <extLst>
        <ext xmlns:x14="http://schemas.microsoft.com/office/spreadsheetml/2009/9/main" uri="{B025F937-C7B1-47D3-B67F-A62EFF666E3E}">
          <x14:id>{7AC930CD-40EC-41C1-81BA-DB26E103B86C}</x14:id>
        </ext>
      </extLst>
    </cfRule>
  </conditionalFormatting>
  <conditionalFormatting sqref="J23:J25">
    <cfRule type="dataBar" priority="2">
      <dataBar>
        <cfvo type="min"/>
        <cfvo type="max"/>
        <color rgb="FF008AEF"/>
      </dataBar>
      <extLst>
        <ext xmlns:x14="http://schemas.microsoft.com/office/spreadsheetml/2009/9/main" uri="{B025F937-C7B1-47D3-B67F-A62EFF666E3E}">
          <x14:id>{137952F0-C836-402A-84B6-2BA309BC08D8}</x14:id>
        </ext>
      </extLst>
    </cfRule>
  </conditionalFormatting>
  <conditionalFormatting sqref="J23:J25">
    <cfRule type="dataBar" priority="1">
      <dataBar>
        <cfvo type="min"/>
        <cfvo type="max"/>
        <color rgb="FF008AEF"/>
      </dataBar>
      <extLst>
        <ext xmlns:x14="http://schemas.microsoft.com/office/spreadsheetml/2009/9/main" uri="{B025F937-C7B1-47D3-B67F-A62EFF666E3E}">
          <x14:id>{8F99DD7D-7C20-485B-910C-72F1CC58580D}</x14:id>
        </ext>
      </extLst>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pivot="1">
          <x14:cfRule type="dataBar" id="{04F5B7C7-52D2-44CA-81A9-A0B2FBE149CB}">
            <x14:dataBar minLength="0" maxLength="100" border="1" negativeBarBorderColorSameAsPositive="0">
              <x14:cfvo type="autoMin"/>
              <x14:cfvo type="autoMax"/>
              <x14:borderColor rgb="FFFFB628"/>
              <x14:negativeFillColor rgb="FFFF0000"/>
              <x14:negativeBorderColor rgb="FFFF0000"/>
              <x14:axisColor rgb="FF000000"/>
            </x14:dataBar>
          </x14:cfRule>
          <xm:sqref>E12</xm:sqref>
        </x14:conditionalFormatting>
        <x14:conditionalFormatting xmlns:xm="http://schemas.microsoft.com/office/excel/2006/main" pivot="1">
          <x14:cfRule type="dataBar" id="{9E237ABC-242D-47C3-9010-294DE9703C2F}">
            <x14:dataBar minLength="0" maxLength="100" border="1" negativeBarBorderColorSameAsPositive="0">
              <x14:cfvo type="autoMin"/>
              <x14:cfvo type="autoMax"/>
              <x14:borderColor rgb="FF008AEF"/>
              <x14:negativeFillColor rgb="FFFF0000"/>
              <x14:negativeBorderColor rgb="FFFF0000"/>
              <x14:axisColor rgb="FF000000"/>
            </x14:dataBar>
          </x14:cfRule>
          <xm:sqref>I13</xm:sqref>
        </x14:conditionalFormatting>
        <x14:conditionalFormatting xmlns:xm="http://schemas.microsoft.com/office/excel/2006/main" pivot="1">
          <x14:cfRule type="dataBar" id="{A6D4E072-DC73-4EFE-BE2E-33A3E5C6E718}">
            <x14:dataBar minLength="0" maxLength="100" border="1" negativeBarBorderColorSameAsPositive="0">
              <x14:cfvo type="autoMin"/>
              <x14:cfvo type="autoMax"/>
              <x14:borderColor rgb="FF008AEF"/>
              <x14:negativeFillColor rgb="FFFF0000"/>
              <x14:negativeBorderColor rgb="FFFF0000"/>
              <x14:axisColor rgb="FF000000"/>
            </x14:dataBar>
          </x14:cfRule>
          <xm:sqref>H13</xm:sqref>
        </x14:conditionalFormatting>
        <x14:conditionalFormatting xmlns:xm="http://schemas.microsoft.com/office/excel/2006/main" pivot="1">
          <x14:cfRule type="dataBar" id="{7AC930CD-40EC-41C1-81BA-DB26E103B86C}">
            <x14:dataBar minLength="0" maxLength="100" border="1" negativeBarBorderColorSameAsPositive="0">
              <x14:cfvo type="autoMin"/>
              <x14:cfvo type="autoMax"/>
              <x14:borderColor rgb="FF008AEF"/>
              <x14:negativeFillColor rgb="FFFF0000"/>
              <x14:negativeBorderColor rgb="FFFF0000"/>
              <x14:axisColor rgb="FF000000"/>
            </x14:dataBar>
          </x14:cfRule>
        </x14:conditionalFormatting>
        <x14:conditionalFormatting xmlns:xm="http://schemas.microsoft.com/office/excel/2006/main">
          <x14:cfRule type="dataBar" id="{137952F0-C836-402A-84B6-2BA309BC08D8}">
            <x14:dataBar minLength="0" maxLength="100" border="1" negativeBarBorderColorSameAsPositive="0">
              <x14:cfvo type="autoMin"/>
              <x14:cfvo type="autoMax"/>
              <x14:borderColor rgb="FF008AEF"/>
              <x14:negativeFillColor rgb="FFFF0000"/>
              <x14:negativeBorderColor rgb="FFFF0000"/>
              <x14:axisColor rgb="FF000000"/>
            </x14:dataBar>
          </x14:cfRule>
          <xm:sqref>J23:J25</xm:sqref>
        </x14:conditionalFormatting>
        <x14:conditionalFormatting xmlns:xm="http://schemas.microsoft.com/office/excel/2006/main">
          <x14:cfRule type="dataBar" id="{8F99DD7D-7C20-485B-910C-72F1CC58580D}">
            <x14:dataBar minLength="0" maxLength="100" border="1" negativeBarBorderColorSameAsPositive="0">
              <x14:cfvo type="autoMin"/>
              <x14:cfvo type="autoMax"/>
              <x14:borderColor rgb="FF008AEF"/>
              <x14:negativeFillColor rgb="FFFF0000"/>
              <x14:negativeBorderColor rgb="FFFF0000"/>
              <x14:axisColor rgb="FF000000"/>
            </x14:dataBar>
          </x14:cfRule>
          <xm:sqref>J23:J25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abSelected="1" zoomScale="115" zoomScaleNormal="115" workbookViewId="0">
      <selection activeCell="S3" sqref="S3"/>
    </sheetView>
  </sheetViews>
  <sheetFormatPr defaultRowHeight="15.75" x14ac:dyDescent="0.25"/>
  <cols>
    <col min="3" max="3" width="12.25" bestFit="1" customWidth="1"/>
    <col min="5" max="5" width="10.125" bestFit="1" customWidth="1"/>
  </cols>
  <sheetData>
    <row r="1" spans="1:11" x14ac:dyDescent="0.25">
      <c r="A1" s="36" t="s">
        <v>265</v>
      </c>
      <c r="B1" s="33"/>
      <c r="C1" s="33"/>
      <c r="D1" s="33"/>
      <c r="E1" s="33"/>
      <c r="F1" s="33"/>
      <c r="G1" s="33"/>
      <c r="H1" s="33"/>
      <c r="I1" s="33"/>
      <c r="J1" s="33"/>
      <c r="K1" s="33"/>
    </row>
    <row r="2" spans="1:11" x14ac:dyDescent="0.25">
      <c r="A2" s="33"/>
      <c r="B2" s="33"/>
      <c r="C2" s="33"/>
      <c r="D2" s="33"/>
      <c r="E2" s="33"/>
      <c r="F2" s="33"/>
      <c r="G2" s="33"/>
      <c r="H2" s="33"/>
      <c r="I2" s="33"/>
      <c r="J2" s="33"/>
      <c r="K2" s="33"/>
    </row>
    <row r="3" spans="1:11" x14ac:dyDescent="0.25">
      <c r="A3" s="33"/>
      <c r="B3" s="33"/>
      <c r="C3" s="33"/>
      <c r="D3" s="33"/>
      <c r="E3" s="33"/>
      <c r="F3" s="33"/>
      <c r="G3" s="33"/>
      <c r="H3" s="33"/>
      <c r="I3" s="33"/>
      <c r="J3" s="33"/>
      <c r="K3" s="33"/>
    </row>
    <row r="4" spans="1:11" x14ac:dyDescent="0.25">
      <c r="A4" s="33"/>
      <c r="B4" s="41"/>
      <c r="C4" s="35"/>
      <c r="D4" s="35"/>
      <c r="E4" s="35"/>
      <c r="F4" s="35"/>
      <c r="G4" s="35"/>
      <c r="H4" s="35"/>
      <c r="I4" s="35"/>
      <c r="J4" s="35"/>
      <c r="K4" s="35"/>
    </row>
    <row r="5" spans="1:11" x14ac:dyDescent="0.25">
      <c r="A5" s="33"/>
      <c r="B5" s="41"/>
      <c r="C5" s="35"/>
      <c r="D5" s="35"/>
      <c r="E5" s="40">
        <f>GETPIVOTDATA("[Measures].[Sum of Profit]",Analysis_dim!$F$6)</f>
        <v>780</v>
      </c>
      <c r="F5" s="35"/>
      <c r="G5" s="35"/>
      <c r="H5" s="40">
        <f>GETPIVOTDATA("[Measures].[Average of Profit]",Analysis_dim!$H$6)</f>
        <v>780</v>
      </c>
      <c r="I5" s="35"/>
      <c r="J5" s="38">
        <f>GETPIVOTDATA("[Measures].[Average of Profit Margin]",Analysis_dim!$J$6)</f>
        <v>0.17333333333333334</v>
      </c>
      <c r="K5" s="35"/>
    </row>
    <row r="6" spans="1:11" x14ac:dyDescent="0.25">
      <c r="A6" s="33"/>
      <c r="B6" s="41"/>
      <c r="C6" s="37">
        <f>GETPIVOTDATA("[Measures].[Sum of Revenue]",Analysis_dim!$D$6)</f>
        <v>4500</v>
      </c>
      <c r="D6" s="35"/>
      <c r="E6" s="35"/>
      <c r="F6" s="35"/>
      <c r="G6" s="35"/>
      <c r="H6" s="35"/>
      <c r="I6" s="35"/>
      <c r="J6" s="35"/>
      <c r="K6" s="35"/>
    </row>
    <row r="7" spans="1:11" x14ac:dyDescent="0.25">
      <c r="A7" s="33"/>
      <c r="B7" s="41"/>
      <c r="C7" s="35"/>
      <c r="D7" s="35"/>
      <c r="E7" s="35"/>
      <c r="F7" s="35"/>
      <c r="G7" s="35"/>
      <c r="H7" s="35"/>
      <c r="I7" s="35"/>
      <c r="J7" s="35"/>
      <c r="K7" s="35"/>
    </row>
    <row r="8" spans="1:11" x14ac:dyDescent="0.25">
      <c r="A8" s="33"/>
      <c r="B8" s="41"/>
      <c r="C8" s="35"/>
      <c r="D8" s="35"/>
      <c r="E8" s="35"/>
      <c r="F8" s="35"/>
      <c r="G8" s="35"/>
      <c r="H8" s="35"/>
      <c r="I8" s="35"/>
      <c r="J8" s="35"/>
      <c r="K8" s="35"/>
    </row>
    <row r="9" spans="1:11" x14ac:dyDescent="0.25">
      <c r="A9" s="33"/>
      <c r="B9" s="41"/>
      <c r="C9" s="35"/>
      <c r="D9" s="35"/>
      <c r="E9" s="35"/>
      <c r="F9" s="35"/>
      <c r="G9" s="35"/>
      <c r="H9" s="35"/>
      <c r="I9" s="35"/>
      <c r="J9" s="35"/>
      <c r="K9" s="35"/>
    </row>
    <row r="10" spans="1:11" x14ac:dyDescent="0.25">
      <c r="A10" s="33"/>
      <c r="B10" s="41"/>
      <c r="C10" s="35"/>
      <c r="D10" s="35"/>
      <c r="E10" s="35"/>
      <c r="F10" s="35"/>
      <c r="G10" s="35"/>
      <c r="H10" s="35"/>
      <c r="I10" s="35"/>
      <c r="J10" s="35"/>
      <c r="K10" s="35"/>
    </row>
    <row r="11" spans="1:11" x14ac:dyDescent="0.25">
      <c r="A11" s="33"/>
      <c r="B11" s="41"/>
      <c r="C11" s="35"/>
      <c r="D11" s="35"/>
      <c r="E11" s="35"/>
      <c r="F11" s="35"/>
      <c r="G11" s="35"/>
      <c r="H11" s="35"/>
      <c r="I11" s="35"/>
      <c r="J11" s="35"/>
      <c r="K11" s="35"/>
    </row>
    <row r="12" spans="1:11" x14ac:dyDescent="0.25">
      <c r="A12" s="33"/>
      <c r="B12" s="41"/>
      <c r="C12" s="35"/>
      <c r="D12" s="35"/>
      <c r="E12" s="35"/>
      <c r="F12" s="35"/>
      <c r="G12" s="35"/>
      <c r="H12" s="35"/>
      <c r="I12" s="35"/>
      <c r="J12" s="35"/>
      <c r="K12" s="35"/>
    </row>
    <row r="13" spans="1:11" x14ac:dyDescent="0.25">
      <c r="A13" s="33"/>
      <c r="B13" s="41"/>
      <c r="C13" s="35"/>
      <c r="D13" s="35"/>
      <c r="E13" s="35"/>
      <c r="F13" s="35"/>
      <c r="G13" s="35"/>
      <c r="H13" s="35"/>
      <c r="I13" s="35"/>
      <c r="J13" s="35"/>
      <c r="K13" s="35"/>
    </row>
    <row r="14" spans="1:11" x14ac:dyDescent="0.25">
      <c r="A14" s="33"/>
      <c r="B14" s="41"/>
      <c r="C14" s="35"/>
      <c r="D14" s="35"/>
      <c r="E14" s="35"/>
      <c r="F14" s="35"/>
      <c r="G14" s="35"/>
      <c r="H14" s="35"/>
      <c r="I14" s="35"/>
      <c r="J14" s="35"/>
      <c r="K14" s="35"/>
    </row>
    <row r="15" spans="1:11" x14ac:dyDescent="0.25">
      <c r="A15" s="33"/>
      <c r="B15" s="41"/>
      <c r="C15" s="35"/>
      <c r="D15" s="35"/>
      <c r="E15" s="35"/>
      <c r="F15" s="35"/>
      <c r="G15" s="35"/>
      <c r="H15" s="35"/>
      <c r="I15" s="35"/>
      <c r="J15" s="35"/>
      <c r="K15" s="35"/>
    </row>
    <row r="16" spans="1:11" x14ac:dyDescent="0.25">
      <c r="A16" s="33"/>
      <c r="B16" s="41"/>
      <c r="C16" s="35"/>
      <c r="D16" s="35"/>
      <c r="E16" s="35"/>
      <c r="F16" s="35"/>
      <c r="G16" s="35"/>
      <c r="H16" s="35"/>
      <c r="I16" s="35"/>
      <c r="J16" s="35"/>
      <c r="K16" s="35"/>
    </row>
    <row r="17" spans="1:11" x14ac:dyDescent="0.25">
      <c r="A17" s="33"/>
      <c r="B17" s="41"/>
      <c r="C17" s="35"/>
      <c r="D17" s="35"/>
      <c r="E17" s="35"/>
      <c r="F17" s="35"/>
      <c r="G17" s="35"/>
      <c r="H17" s="35"/>
      <c r="I17" s="35"/>
      <c r="J17" s="35"/>
      <c r="K17" s="35"/>
    </row>
    <row r="18" spans="1:11" x14ac:dyDescent="0.25">
      <c r="A18" s="33"/>
      <c r="B18" s="41"/>
      <c r="C18" s="35"/>
      <c r="D18" s="35"/>
      <c r="E18" s="35"/>
      <c r="F18" s="35"/>
      <c r="G18" s="35"/>
      <c r="H18" s="35"/>
      <c r="I18" s="35"/>
      <c r="J18" s="35"/>
      <c r="K18" s="35"/>
    </row>
    <row r="19" spans="1:11" x14ac:dyDescent="0.25">
      <c r="A19" s="33"/>
      <c r="B19" s="41"/>
      <c r="C19" s="35"/>
      <c r="D19" s="35"/>
      <c r="E19" s="35"/>
      <c r="F19" s="35"/>
      <c r="G19" s="35"/>
      <c r="H19" s="35"/>
      <c r="I19" s="35"/>
      <c r="J19" s="35"/>
      <c r="K19" s="35"/>
    </row>
    <row r="20" spans="1:11" x14ac:dyDescent="0.25">
      <c r="A20" s="33"/>
      <c r="B20" s="41"/>
      <c r="C20" s="35"/>
      <c r="D20" s="35"/>
      <c r="E20" s="35"/>
      <c r="F20" s="35"/>
      <c r="G20" s="35"/>
      <c r="H20" s="35"/>
      <c r="I20" s="35"/>
      <c r="J20" s="35"/>
      <c r="K20" s="35"/>
    </row>
  </sheetData>
  <mergeCells count="2">
    <mergeCell ref="A1:K3"/>
    <mergeCell ref="A4:A2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zoomScaleNormal="100" workbookViewId="0">
      <selection activeCell="F14" sqref="F14"/>
    </sheetView>
  </sheetViews>
  <sheetFormatPr defaultColWidth="11" defaultRowHeight="15.75" x14ac:dyDescent="0.25"/>
  <cols>
    <col min="1" max="1" width="13.875" customWidth="1"/>
    <col min="2" max="2" width="17.75" customWidth="1"/>
    <col min="3" max="3" width="16.25" bestFit="1" customWidth="1"/>
  </cols>
  <sheetData>
    <row r="1" spans="1:2" ht="23.25" x14ac:dyDescent="0.35">
      <c r="A1" s="13" t="s">
        <v>47</v>
      </c>
      <c r="B1" s="13" t="s">
        <v>228</v>
      </c>
    </row>
    <row r="2" spans="1:2" x14ac:dyDescent="0.25">
      <c r="A2" s="7" t="s">
        <v>48</v>
      </c>
      <c r="B2" t="s">
        <v>230</v>
      </c>
    </row>
    <row r="3" spans="1:2" x14ac:dyDescent="0.25">
      <c r="A3" s="7" t="s">
        <v>50</v>
      </c>
      <c r="B3" t="s">
        <v>231</v>
      </c>
    </row>
    <row r="4" spans="1:2" x14ac:dyDescent="0.25">
      <c r="A4" s="7" t="s">
        <v>167</v>
      </c>
      <c r="B4" t="s">
        <v>232</v>
      </c>
    </row>
    <row r="5" spans="1:2" x14ac:dyDescent="0.25">
      <c r="A5" s="7" t="s">
        <v>49</v>
      </c>
      <c r="B5" t="s">
        <v>233</v>
      </c>
    </row>
    <row r="6" spans="1:2" x14ac:dyDescent="0.25">
      <c r="A6" s="7" t="s">
        <v>51</v>
      </c>
      <c r="B6" t="s">
        <v>234</v>
      </c>
    </row>
    <row r="20" spans="5:5" x14ac:dyDescent="0.25">
      <c r="E20" s="11"/>
    </row>
  </sheetData>
  <sortState ref="A2:B6">
    <sortCondition ref="A2"/>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zoomScaleNormal="100" workbookViewId="0">
      <selection activeCell="A2" sqref="A2:B5"/>
    </sheetView>
  </sheetViews>
  <sheetFormatPr defaultColWidth="11" defaultRowHeight="15.75" x14ac:dyDescent="0.25"/>
  <cols>
    <col min="1" max="1" width="11.375" customWidth="1"/>
    <col min="2" max="2" width="13" customWidth="1"/>
  </cols>
  <sheetData>
    <row r="1" spans="1:2" ht="23.25" x14ac:dyDescent="0.35">
      <c r="A1" s="4" t="s">
        <v>158</v>
      </c>
      <c r="B1" s="13" t="s">
        <v>198</v>
      </c>
    </row>
    <row r="2" spans="1:2" x14ac:dyDescent="0.25">
      <c r="A2" s="7" t="s">
        <v>166</v>
      </c>
      <c r="B2" t="s">
        <v>239</v>
      </c>
    </row>
    <row r="3" spans="1:2" x14ac:dyDescent="0.25">
      <c r="A3" s="7" t="s">
        <v>164</v>
      </c>
      <c r="B3" t="s">
        <v>240</v>
      </c>
    </row>
    <row r="4" spans="1:2" x14ac:dyDescent="0.25">
      <c r="A4" s="7" t="s">
        <v>162</v>
      </c>
      <c r="B4" t="s">
        <v>241</v>
      </c>
    </row>
    <row r="5" spans="1:2" x14ac:dyDescent="0.25">
      <c r="A5" s="7" t="s">
        <v>160</v>
      </c>
      <c r="B5" t="s">
        <v>242</v>
      </c>
    </row>
    <row r="21" spans="4:4" x14ac:dyDescent="0.25">
      <c r="D21" s="11"/>
    </row>
  </sheetData>
  <sortState ref="A2:B5">
    <sortCondition ref="A2"/>
  </sortState>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zoomScaleNormal="100" workbookViewId="0">
      <selection sqref="A1:B5"/>
    </sheetView>
  </sheetViews>
  <sheetFormatPr defaultColWidth="11" defaultRowHeight="15.75" x14ac:dyDescent="0.25"/>
  <cols>
    <col min="1" max="1" width="18" customWidth="1"/>
    <col min="2" max="2" width="16.5" customWidth="1"/>
  </cols>
  <sheetData>
    <row r="1" spans="1:2" ht="23.25" x14ac:dyDescent="0.35">
      <c r="A1" s="4" t="s">
        <v>6</v>
      </c>
      <c r="B1" s="13" t="s">
        <v>197</v>
      </c>
    </row>
    <row r="2" spans="1:2" x14ac:dyDescent="0.25">
      <c r="A2" s="7" t="s">
        <v>165</v>
      </c>
      <c r="B2" t="s">
        <v>235</v>
      </c>
    </row>
    <row r="3" spans="1:2" x14ac:dyDescent="0.25">
      <c r="A3" s="7" t="s">
        <v>159</v>
      </c>
      <c r="B3" t="s">
        <v>236</v>
      </c>
    </row>
    <row r="4" spans="1:2" x14ac:dyDescent="0.25">
      <c r="A4" s="7" t="s">
        <v>163</v>
      </c>
      <c r="B4" t="s">
        <v>237</v>
      </c>
    </row>
    <row r="5" spans="1:2" x14ac:dyDescent="0.25">
      <c r="A5" s="7" t="s">
        <v>161</v>
      </c>
      <c r="B5" t="s">
        <v>238</v>
      </c>
    </row>
    <row r="21" spans="4:4" x14ac:dyDescent="0.25">
      <c r="D21" s="11"/>
    </row>
  </sheetData>
  <sortState ref="B3:C6">
    <sortCondition ref="B3"/>
  </sortState>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zoomScaleNormal="100" workbookViewId="0">
      <selection sqref="A1:D29"/>
    </sheetView>
  </sheetViews>
  <sheetFormatPr defaultColWidth="11" defaultRowHeight="15.75" x14ac:dyDescent="0.25"/>
  <cols>
    <col min="1" max="2" width="32.875" customWidth="1"/>
    <col min="3" max="3" width="16.375" customWidth="1"/>
    <col min="4" max="4" width="15.875" customWidth="1"/>
    <col min="5" max="5" width="16.5" customWidth="1"/>
    <col min="6" max="6" width="8.75" customWidth="1"/>
    <col min="7" max="7" width="12.25" customWidth="1"/>
    <col min="8" max="8" width="12" customWidth="1"/>
    <col min="9" max="9" width="9.5" customWidth="1"/>
    <col min="10" max="10" width="18.125" customWidth="1"/>
  </cols>
  <sheetData>
    <row r="1" spans="1:10" ht="23.25" x14ac:dyDescent="0.35">
      <c r="A1" s="4" t="s">
        <v>5</v>
      </c>
      <c r="B1" s="4" t="s">
        <v>168</v>
      </c>
      <c r="C1" s="4" t="s">
        <v>100</v>
      </c>
      <c r="D1" s="4" t="s">
        <v>101</v>
      </c>
      <c r="E1" s="12"/>
      <c r="F1" s="12"/>
      <c r="G1" s="12"/>
      <c r="H1" s="12"/>
      <c r="I1" s="12"/>
      <c r="J1" s="12"/>
    </row>
    <row r="2" spans="1:10" x14ac:dyDescent="0.25">
      <c r="A2" s="7" t="s">
        <v>72</v>
      </c>
      <c r="B2" s="6" t="s">
        <v>169</v>
      </c>
      <c r="C2" s="7" t="s">
        <v>102</v>
      </c>
      <c r="D2" s="7" t="s">
        <v>103</v>
      </c>
      <c r="E2" s="7"/>
      <c r="F2" s="7"/>
      <c r="G2" s="7"/>
      <c r="H2" s="8"/>
      <c r="I2" s="9"/>
      <c r="J2" s="5"/>
    </row>
    <row r="3" spans="1:10" x14ac:dyDescent="0.25">
      <c r="A3" s="7" t="s">
        <v>90</v>
      </c>
      <c r="B3" s="6" t="s">
        <v>170</v>
      </c>
      <c r="C3" s="7" t="s">
        <v>138</v>
      </c>
      <c r="D3" s="7" t="s">
        <v>139</v>
      </c>
      <c r="E3" s="7"/>
      <c r="F3" s="7"/>
      <c r="G3" s="7"/>
      <c r="H3" s="8"/>
      <c r="I3" s="9"/>
      <c r="J3" s="5"/>
    </row>
    <row r="4" spans="1:10" x14ac:dyDescent="0.25">
      <c r="A4" s="7" t="s">
        <v>80</v>
      </c>
      <c r="B4" s="6" t="s">
        <v>171</v>
      </c>
      <c r="C4" s="7" t="s">
        <v>118</v>
      </c>
      <c r="D4" s="7" t="s">
        <v>119</v>
      </c>
      <c r="E4" s="7"/>
      <c r="F4" s="7"/>
      <c r="G4" s="7"/>
      <c r="H4" s="8"/>
      <c r="I4" s="9"/>
      <c r="J4" s="5"/>
    </row>
    <row r="5" spans="1:10" x14ac:dyDescent="0.25">
      <c r="A5" s="7" t="s">
        <v>89</v>
      </c>
      <c r="B5" s="6" t="s">
        <v>172</v>
      </c>
      <c r="C5" s="7" t="s">
        <v>136</v>
      </c>
      <c r="D5" s="7" t="s">
        <v>137</v>
      </c>
      <c r="E5" s="7"/>
      <c r="F5" s="7"/>
      <c r="G5" s="7"/>
      <c r="H5" s="10"/>
      <c r="I5" s="9"/>
      <c r="J5" s="5"/>
    </row>
    <row r="6" spans="1:10" x14ac:dyDescent="0.25">
      <c r="A6" s="7" t="s">
        <v>88</v>
      </c>
      <c r="B6" s="6" t="s">
        <v>173</v>
      </c>
      <c r="C6" s="7" t="s">
        <v>134</v>
      </c>
      <c r="D6" s="7" t="s">
        <v>135</v>
      </c>
      <c r="E6" s="7"/>
      <c r="F6" s="7"/>
      <c r="G6" s="7"/>
      <c r="H6" s="8"/>
      <c r="I6" s="9"/>
      <c r="J6" s="5"/>
    </row>
    <row r="7" spans="1:10" x14ac:dyDescent="0.25">
      <c r="A7" s="7" t="s">
        <v>79</v>
      </c>
      <c r="B7" s="6" t="s">
        <v>174</v>
      </c>
      <c r="C7" s="7" t="s">
        <v>116</v>
      </c>
      <c r="D7" s="7" t="s">
        <v>117</v>
      </c>
      <c r="E7" s="7"/>
      <c r="F7" s="7"/>
      <c r="G7" s="7"/>
      <c r="H7" s="8"/>
      <c r="I7" s="9"/>
      <c r="J7" s="5"/>
    </row>
    <row r="8" spans="1:10" x14ac:dyDescent="0.25">
      <c r="A8" s="7" t="s">
        <v>94</v>
      </c>
      <c r="B8" s="6" t="s">
        <v>175</v>
      </c>
      <c r="C8" s="7" t="s">
        <v>146</v>
      </c>
      <c r="D8" s="7" t="s">
        <v>147</v>
      </c>
      <c r="E8" s="7"/>
      <c r="F8" s="7"/>
      <c r="G8" s="7"/>
      <c r="H8" s="8"/>
      <c r="I8" s="9"/>
      <c r="J8" s="5"/>
    </row>
    <row r="9" spans="1:10" x14ac:dyDescent="0.25">
      <c r="A9" s="7" t="s">
        <v>83</v>
      </c>
      <c r="B9" s="6" t="s">
        <v>176</v>
      </c>
      <c r="C9" s="7" t="s">
        <v>124</v>
      </c>
      <c r="D9" s="7" t="s">
        <v>125</v>
      </c>
      <c r="E9" s="7"/>
      <c r="F9" s="7"/>
      <c r="G9" s="7"/>
      <c r="H9" s="8"/>
      <c r="I9" s="9"/>
      <c r="J9" s="5"/>
    </row>
    <row r="10" spans="1:10" x14ac:dyDescent="0.25">
      <c r="A10" s="7" t="s">
        <v>95</v>
      </c>
      <c r="B10" s="6" t="s">
        <v>177</v>
      </c>
      <c r="C10" s="7" t="s">
        <v>148</v>
      </c>
      <c r="D10" s="7" t="s">
        <v>149</v>
      </c>
      <c r="E10" s="7"/>
      <c r="F10" s="7"/>
      <c r="G10" s="7"/>
      <c r="H10" s="8"/>
      <c r="I10" s="9"/>
      <c r="J10" s="5"/>
    </row>
    <row r="11" spans="1:10" x14ac:dyDescent="0.25">
      <c r="A11" s="7" t="s">
        <v>85</v>
      </c>
      <c r="B11" s="6" t="s">
        <v>178</v>
      </c>
      <c r="C11" s="7" t="s">
        <v>128</v>
      </c>
      <c r="D11" s="7" t="s">
        <v>129</v>
      </c>
      <c r="E11" s="7"/>
      <c r="F11" s="7"/>
      <c r="G11" s="7"/>
      <c r="H11" s="8"/>
      <c r="I11" s="9"/>
      <c r="J11" s="5"/>
    </row>
    <row r="12" spans="1:10" x14ac:dyDescent="0.25">
      <c r="A12" s="7" t="s">
        <v>97</v>
      </c>
      <c r="B12" s="6" t="s">
        <v>179</v>
      </c>
      <c r="C12" s="7" t="s">
        <v>152</v>
      </c>
      <c r="D12" s="7" t="s">
        <v>153</v>
      </c>
      <c r="E12" s="7"/>
      <c r="F12" s="7"/>
      <c r="G12" s="7"/>
      <c r="H12" s="8"/>
      <c r="I12" s="9"/>
      <c r="J12" s="5"/>
    </row>
    <row r="13" spans="1:10" x14ac:dyDescent="0.25">
      <c r="A13" s="7" t="s">
        <v>98</v>
      </c>
      <c r="B13" s="6" t="s">
        <v>180</v>
      </c>
      <c r="C13" s="7" t="s">
        <v>154</v>
      </c>
      <c r="D13" s="7" t="s">
        <v>155</v>
      </c>
      <c r="E13" s="7"/>
      <c r="F13" s="7"/>
      <c r="G13" s="7"/>
      <c r="H13" s="8"/>
      <c r="I13" s="9"/>
      <c r="J13" s="5"/>
    </row>
    <row r="14" spans="1:10" x14ac:dyDescent="0.25">
      <c r="A14" s="7" t="s">
        <v>92</v>
      </c>
      <c r="B14" s="6" t="s">
        <v>181</v>
      </c>
      <c r="C14" s="7" t="s">
        <v>142</v>
      </c>
      <c r="D14" s="7" t="s">
        <v>143</v>
      </c>
      <c r="E14" s="7"/>
      <c r="F14" s="7"/>
      <c r="G14" s="7"/>
      <c r="H14" s="8"/>
      <c r="I14" s="9"/>
      <c r="J14" s="5"/>
    </row>
    <row r="15" spans="1:10" x14ac:dyDescent="0.25">
      <c r="A15" s="7" t="s">
        <v>91</v>
      </c>
      <c r="B15" s="6" t="s">
        <v>182</v>
      </c>
      <c r="C15" s="7" t="s">
        <v>140</v>
      </c>
      <c r="D15" s="7" t="s">
        <v>141</v>
      </c>
      <c r="E15" s="7"/>
      <c r="F15" s="7"/>
      <c r="G15" s="7"/>
      <c r="H15" s="10"/>
      <c r="I15" s="9"/>
      <c r="J15" s="5"/>
    </row>
    <row r="16" spans="1:10" x14ac:dyDescent="0.25">
      <c r="A16" s="7" t="s">
        <v>96</v>
      </c>
      <c r="B16" s="6" t="s">
        <v>183</v>
      </c>
      <c r="C16" s="7" t="s">
        <v>150</v>
      </c>
      <c r="D16" s="7" t="s">
        <v>151</v>
      </c>
      <c r="E16" s="7"/>
      <c r="F16" s="7"/>
      <c r="G16" s="7"/>
      <c r="H16" s="8"/>
      <c r="I16" s="9"/>
      <c r="J16" s="5"/>
    </row>
    <row r="17" spans="1:12" x14ac:dyDescent="0.25">
      <c r="A17" s="7" t="s">
        <v>77</v>
      </c>
      <c r="B17" s="6" t="s">
        <v>184</v>
      </c>
      <c r="C17" s="7" t="s">
        <v>112</v>
      </c>
      <c r="D17" s="7" t="s">
        <v>113</v>
      </c>
      <c r="E17" s="7"/>
      <c r="F17" s="7"/>
      <c r="G17" s="7"/>
      <c r="H17" s="8"/>
      <c r="I17" s="9"/>
      <c r="J17" s="5"/>
    </row>
    <row r="18" spans="1:12" x14ac:dyDescent="0.25">
      <c r="A18" s="7" t="s">
        <v>99</v>
      </c>
      <c r="B18" s="6" t="s">
        <v>185</v>
      </c>
      <c r="C18" s="7" t="s">
        <v>156</v>
      </c>
      <c r="D18" s="7" t="s">
        <v>157</v>
      </c>
      <c r="E18" s="7"/>
      <c r="F18" s="7"/>
      <c r="G18" s="7"/>
      <c r="H18" s="8"/>
      <c r="I18" s="9"/>
      <c r="J18" s="5"/>
    </row>
    <row r="19" spans="1:12" x14ac:dyDescent="0.25">
      <c r="A19" s="7" t="s">
        <v>84</v>
      </c>
      <c r="B19" s="6" t="s">
        <v>186</v>
      </c>
      <c r="C19" s="7" t="s">
        <v>126</v>
      </c>
      <c r="D19" s="7" t="s">
        <v>127</v>
      </c>
      <c r="E19" s="7"/>
      <c r="F19" s="7"/>
      <c r="G19" s="7"/>
      <c r="H19" s="8"/>
      <c r="I19" s="9"/>
      <c r="J19" s="5"/>
    </row>
    <row r="20" spans="1:12" x14ac:dyDescent="0.25">
      <c r="A20" s="7" t="s">
        <v>93</v>
      </c>
      <c r="B20" s="6" t="s">
        <v>187</v>
      </c>
      <c r="C20" s="7" t="s">
        <v>144</v>
      </c>
      <c r="D20" s="7" t="s">
        <v>145</v>
      </c>
      <c r="E20" s="7"/>
      <c r="F20" s="7"/>
      <c r="G20" s="7"/>
      <c r="H20" s="8"/>
      <c r="I20" s="9"/>
      <c r="J20" s="5"/>
      <c r="L20" s="11"/>
    </row>
    <row r="21" spans="1:12" x14ac:dyDescent="0.25">
      <c r="A21" s="7" t="s">
        <v>78</v>
      </c>
      <c r="B21" s="6" t="s">
        <v>188</v>
      </c>
      <c r="C21" s="7" t="s">
        <v>114</v>
      </c>
      <c r="D21" s="7" t="s">
        <v>115</v>
      </c>
      <c r="E21" s="7"/>
      <c r="F21" s="7"/>
      <c r="G21" s="7"/>
      <c r="H21" s="8"/>
      <c r="I21" s="9"/>
      <c r="J21" s="5"/>
    </row>
    <row r="22" spans="1:12" x14ac:dyDescent="0.25">
      <c r="A22" s="7" t="s">
        <v>74</v>
      </c>
      <c r="B22" s="6" t="s">
        <v>189</v>
      </c>
      <c r="C22" s="7" t="s">
        <v>106</v>
      </c>
      <c r="D22" s="7" t="s">
        <v>107</v>
      </c>
      <c r="E22" s="7"/>
      <c r="F22" s="7"/>
      <c r="G22" s="7"/>
      <c r="H22" s="8"/>
      <c r="I22" s="9"/>
      <c r="J22" s="5"/>
    </row>
    <row r="23" spans="1:12" x14ac:dyDescent="0.25">
      <c r="A23" s="7" t="s">
        <v>82</v>
      </c>
      <c r="B23" s="6" t="s">
        <v>190</v>
      </c>
      <c r="C23" s="7" t="s">
        <v>122</v>
      </c>
      <c r="D23" s="7" t="s">
        <v>123</v>
      </c>
      <c r="E23" s="7"/>
      <c r="F23" s="7"/>
      <c r="G23" s="7"/>
      <c r="H23" s="8"/>
      <c r="I23" s="9"/>
      <c r="J23" s="5"/>
    </row>
    <row r="24" spans="1:12" x14ac:dyDescent="0.25">
      <c r="A24" s="7" t="s">
        <v>73</v>
      </c>
      <c r="B24" s="6" t="s">
        <v>191</v>
      </c>
      <c r="C24" s="7" t="s">
        <v>104</v>
      </c>
      <c r="D24" s="7" t="s">
        <v>105</v>
      </c>
      <c r="E24" s="7"/>
      <c r="F24" s="7"/>
      <c r="G24" s="7"/>
      <c r="H24" s="8"/>
      <c r="I24" s="9"/>
      <c r="J24" s="5"/>
    </row>
    <row r="25" spans="1:12" x14ac:dyDescent="0.25">
      <c r="A25" s="7" t="s">
        <v>76</v>
      </c>
      <c r="B25" s="6" t="s">
        <v>192</v>
      </c>
      <c r="C25" s="7" t="s">
        <v>110</v>
      </c>
      <c r="D25" s="7" t="s">
        <v>111</v>
      </c>
      <c r="E25" s="7"/>
      <c r="F25" s="7"/>
      <c r="G25" s="7"/>
      <c r="H25" s="8"/>
      <c r="I25" s="9"/>
      <c r="J25" s="5"/>
    </row>
    <row r="26" spans="1:12" x14ac:dyDescent="0.25">
      <c r="A26" s="7" t="s">
        <v>87</v>
      </c>
      <c r="B26" s="6" t="s">
        <v>193</v>
      </c>
      <c r="C26" s="7" t="s">
        <v>132</v>
      </c>
      <c r="D26" s="7" t="s">
        <v>133</v>
      </c>
      <c r="E26" s="7"/>
      <c r="F26" s="7"/>
      <c r="G26" s="7"/>
      <c r="H26" s="8"/>
      <c r="I26" s="9"/>
      <c r="J26" s="5"/>
    </row>
    <row r="27" spans="1:12" x14ac:dyDescent="0.25">
      <c r="A27" s="7" t="s">
        <v>75</v>
      </c>
      <c r="B27" s="6" t="s">
        <v>194</v>
      </c>
      <c r="C27" s="7" t="s">
        <v>108</v>
      </c>
      <c r="D27" s="7" t="s">
        <v>109</v>
      </c>
      <c r="E27" s="7"/>
      <c r="F27" s="7"/>
      <c r="G27" s="7"/>
      <c r="H27" s="8"/>
      <c r="I27" s="9"/>
      <c r="J27" s="5"/>
    </row>
    <row r="28" spans="1:12" x14ac:dyDescent="0.25">
      <c r="A28" s="7" t="s">
        <v>86</v>
      </c>
      <c r="B28" s="6" t="s">
        <v>195</v>
      </c>
      <c r="C28" s="7" t="s">
        <v>130</v>
      </c>
      <c r="D28" s="7" t="s">
        <v>131</v>
      </c>
      <c r="E28" s="7"/>
      <c r="F28" s="7"/>
      <c r="G28" s="7"/>
      <c r="H28" s="8"/>
      <c r="I28" s="9"/>
      <c r="J28" s="5"/>
    </row>
    <row r="29" spans="1:12" x14ac:dyDescent="0.25">
      <c r="A29" s="7" t="s">
        <v>81</v>
      </c>
      <c r="B29" s="6" t="s">
        <v>196</v>
      </c>
      <c r="C29" s="7" t="s">
        <v>120</v>
      </c>
      <c r="D29" s="7" t="s">
        <v>121</v>
      </c>
      <c r="E29" s="7"/>
      <c r="F29" s="7"/>
      <c r="G29" s="7"/>
      <c r="H29" s="8"/>
      <c r="I29" s="9"/>
      <c r="J29" s="5"/>
    </row>
    <row r="32" spans="1:12" x14ac:dyDescent="0.25">
      <c r="A32" s="7"/>
      <c r="B32" s="7"/>
    </row>
    <row r="33" spans="8:8" x14ac:dyDescent="0.25">
      <c r="H33" s="1"/>
    </row>
    <row r="34" spans="8:8" x14ac:dyDescent="0.25">
      <c r="H34" s="1"/>
    </row>
    <row r="35" spans="8:8" x14ac:dyDescent="0.25">
      <c r="H35" s="1"/>
    </row>
    <row r="36" spans="8:8" x14ac:dyDescent="0.25">
      <c r="H36" s="1"/>
    </row>
    <row r="37" spans="8:8" x14ac:dyDescent="0.25">
      <c r="H37" s="1"/>
    </row>
    <row r="38" spans="8:8" x14ac:dyDescent="0.25">
      <c r="H38" s="1"/>
    </row>
    <row r="39" spans="8:8" x14ac:dyDescent="0.25">
      <c r="H39" s="1"/>
    </row>
    <row r="40" spans="8:8" x14ac:dyDescent="0.25">
      <c r="H40" s="1"/>
    </row>
    <row r="41" spans="8:8" x14ac:dyDescent="0.25">
      <c r="H41" s="1"/>
    </row>
  </sheetData>
  <sortState ref="A3:D30">
    <sortCondition ref="A3:A30"/>
    <sortCondition ref="C3:C30"/>
    <sortCondition ref="D3:D30"/>
  </sortState>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zoomScaleNormal="100" workbookViewId="0">
      <selection activeCell="G3" sqref="G3"/>
    </sheetView>
  </sheetViews>
  <sheetFormatPr defaultColWidth="11" defaultRowHeight="15.75" x14ac:dyDescent="0.25"/>
  <cols>
    <col min="1" max="1" width="16.875" customWidth="1"/>
    <col min="2" max="2" width="11" style="20" bestFit="1" customWidth="1"/>
    <col min="3" max="3" width="16.25" style="20" customWidth="1"/>
    <col min="4" max="4" width="24.5" style="20" customWidth="1"/>
    <col min="5" max="5" width="15.375" style="21" customWidth="1"/>
    <col min="6" max="6" width="20.25" style="21" customWidth="1"/>
    <col min="7" max="7" width="16" style="22" customWidth="1"/>
    <col min="8" max="8" width="12.25" style="23" bestFit="1" customWidth="1"/>
    <col min="9" max="9" width="22.125" style="23" customWidth="1"/>
  </cols>
  <sheetData>
    <row r="1" spans="1:9" ht="37.5" customHeight="1" x14ac:dyDescent="0.35">
      <c r="A1" s="24" t="s">
        <v>199</v>
      </c>
      <c r="B1" s="25" t="s">
        <v>0</v>
      </c>
      <c r="C1" s="25" t="s">
        <v>168</v>
      </c>
      <c r="D1" s="25" t="s">
        <v>229</v>
      </c>
      <c r="E1" s="25" t="s">
        <v>198</v>
      </c>
      <c r="F1" s="25" t="s">
        <v>228</v>
      </c>
      <c r="G1" s="25" t="s">
        <v>2</v>
      </c>
      <c r="H1" s="25" t="s">
        <v>3</v>
      </c>
      <c r="I1" s="25" t="s">
        <v>4</v>
      </c>
    </row>
    <row r="2" spans="1:9" x14ac:dyDescent="0.25">
      <c r="A2" t="s">
        <v>200</v>
      </c>
      <c r="B2" s="6">
        <v>45076</v>
      </c>
      <c r="C2" s="6" t="s">
        <v>169</v>
      </c>
      <c r="D2" s="6" t="s">
        <v>236</v>
      </c>
      <c r="E2" s="7" t="s">
        <v>242</v>
      </c>
      <c r="F2" s="7" t="s">
        <v>234</v>
      </c>
      <c r="G2" s="16">
        <v>150000</v>
      </c>
      <c r="H2" s="15">
        <v>598</v>
      </c>
      <c r="I2" s="26">
        <v>0.13288888888888889</v>
      </c>
    </row>
    <row r="3" spans="1:9" x14ac:dyDescent="0.25">
      <c r="A3" t="s">
        <v>201</v>
      </c>
      <c r="B3" s="6">
        <v>45076</v>
      </c>
      <c r="C3" s="6" t="s">
        <v>191</v>
      </c>
      <c r="D3" s="6" t="s">
        <v>238</v>
      </c>
      <c r="E3" s="7" t="s">
        <v>241</v>
      </c>
      <c r="F3" s="7" t="s">
        <v>233</v>
      </c>
      <c r="G3" s="16">
        <v>3800</v>
      </c>
      <c r="H3" s="15">
        <v>1045</v>
      </c>
      <c r="I3" s="26">
        <v>0.27500000000000002</v>
      </c>
    </row>
    <row r="4" spans="1:9" x14ac:dyDescent="0.25">
      <c r="A4" t="s">
        <v>202</v>
      </c>
      <c r="B4" s="6">
        <v>45076</v>
      </c>
      <c r="C4" s="6" t="s">
        <v>189</v>
      </c>
      <c r="D4" s="6" t="s">
        <v>238</v>
      </c>
      <c r="E4" s="7" t="s">
        <v>241</v>
      </c>
      <c r="F4" s="7" t="s">
        <v>232</v>
      </c>
      <c r="G4" s="16">
        <v>3712.5</v>
      </c>
      <c r="H4" s="15">
        <v>1009</v>
      </c>
      <c r="I4" s="26">
        <v>0.2717845117845118</v>
      </c>
    </row>
    <row r="5" spans="1:9" x14ac:dyDescent="0.25">
      <c r="A5" t="s">
        <v>203</v>
      </c>
      <c r="B5" s="6">
        <v>45076</v>
      </c>
      <c r="C5" s="6" t="s">
        <v>194</v>
      </c>
      <c r="D5" s="6" t="s">
        <v>237</v>
      </c>
      <c r="E5" s="7" t="s">
        <v>240</v>
      </c>
      <c r="F5" s="7" t="s">
        <v>232</v>
      </c>
      <c r="G5" s="17">
        <v>4994</v>
      </c>
      <c r="H5" s="15">
        <v>779</v>
      </c>
      <c r="I5" s="26">
        <v>0.15598718462154584</v>
      </c>
    </row>
    <row r="6" spans="1:9" x14ac:dyDescent="0.25">
      <c r="A6" t="s">
        <v>204</v>
      </c>
      <c r="B6" s="6">
        <v>45076</v>
      </c>
      <c r="C6" s="6" t="s">
        <v>192</v>
      </c>
      <c r="D6" s="6" t="s">
        <v>237</v>
      </c>
      <c r="E6" s="7" t="s">
        <v>240</v>
      </c>
      <c r="F6" s="7" t="s">
        <v>231</v>
      </c>
      <c r="G6" s="16">
        <v>5000</v>
      </c>
      <c r="H6" s="15">
        <v>684</v>
      </c>
      <c r="I6" s="26">
        <v>0.1368</v>
      </c>
    </row>
    <row r="7" spans="1:9" x14ac:dyDescent="0.25">
      <c r="A7" t="s">
        <v>205</v>
      </c>
      <c r="B7" s="6">
        <v>45077</v>
      </c>
      <c r="C7" s="6" t="s">
        <v>184</v>
      </c>
      <c r="D7" s="6" t="s">
        <v>236</v>
      </c>
      <c r="E7" s="7" t="s">
        <v>242</v>
      </c>
      <c r="F7" s="7" t="s">
        <v>234</v>
      </c>
      <c r="G7" s="16">
        <v>6100</v>
      </c>
      <c r="H7" s="15">
        <v>544</v>
      </c>
      <c r="I7" s="26">
        <v>8.9180327868852466E-2</v>
      </c>
    </row>
    <row r="8" spans="1:9" x14ac:dyDescent="0.25">
      <c r="A8" t="s">
        <v>206</v>
      </c>
      <c r="B8" s="6">
        <v>45077</v>
      </c>
      <c r="C8" s="6" t="s">
        <v>188</v>
      </c>
      <c r="D8" s="6" t="s">
        <v>236</v>
      </c>
      <c r="E8" s="7" t="s">
        <v>242</v>
      </c>
      <c r="F8" s="7" t="s">
        <v>234</v>
      </c>
      <c r="G8" s="16">
        <v>4625</v>
      </c>
      <c r="H8" s="15">
        <v>670</v>
      </c>
      <c r="I8" s="26">
        <v>0.14486486486486486</v>
      </c>
    </row>
    <row r="9" spans="1:9" x14ac:dyDescent="0.25">
      <c r="A9" t="s">
        <v>207</v>
      </c>
      <c r="B9" s="6">
        <v>45077</v>
      </c>
      <c r="C9" s="6" t="s">
        <v>174</v>
      </c>
      <c r="D9" s="6" t="s">
        <v>236</v>
      </c>
      <c r="E9" s="7" t="s">
        <v>242</v>
      </c>
      <c r="F9" s="7" t="s">
        <v>234</v>
      </c>
      <c r="G9" s="16">
        <v>3800</v>
      </c>
      <c r="H9" s="15">
        <v>2045</v>
      </c>
      <c r="I9" s="26">
        <v>0.53815789473684206</v>
      </c>
    </row>
    <row r="10" spans="1:9" x14ac:dyDescent="0.25">
      <c r="A10" t="s">
        <v>208</v>
      </c>
      <c r="B10" s="6">
        <v>45077</v>
      </c>
      <c r="C10" s="6" t="s">
        <v>171</v>
      </c>
      <c r="D10" s="6" t="s">
        <v>236</v>
      </c>
      <c r="E10" s="7" t="s">
        <v>242</v>
      </c>
      <c r="F10" s="7" t="s">
        <v>230</v>
      </c>
      <c r="G10" s="16">
        <v>3600</v>
      </c>
      <c r="H10" s="15">
        <v>1564</v>
      </c>
      <c r="I10" s="26">
        <v>0.43444444444444447</v>
      </c>
    </row>
    <row r="11" spans="1:9" x14ac:dyDescent="0.25">
      <c r="A11" t="s">
        <v>209</v>
      </c>
      <c r="B11" s="6">
        <v>45077</v>
      </c>
      <c r="C11" s="6" t="s">
        <v>196</v>
      </c>
      <c r="D11" s="6" t="s">
        <v>236</v>
      </c>
      <c r="E11" s="7" t="s">
        <v>242</v>
      </c>
      <c r="F11" s="7" t="s">
        <v>231</v>
      </c>
      <c r="G11" s="16">
        <v>5100</v>
      </c>
      <c r="H11" s="15">
        <v>1220</v>
      </c>
      <c r="I11" s="26">
        <v>0.23921568627450981</v>
      </c>
    </row>
    <row r="12" spans="1:9" x14ac:dyDescent="0.25">
      <c r="A12" t="s">
        <v>210</v>
      </c>
      <c r="B12" s="6">
        <v>45077</v>
      </c>
      <c r="C12" s="6" t="s">
        <v>190</v>
      </c>
      <c r="D12" s="6" t="s">
        <v>236</v>
      </c>
      <c r="E12" s="7" t="s">
        <v>242</v>
      </c>
      <c r="F12" s="7" t="s">
        <v>231</v>
      </c>
      <c r="G12" s="16">
        <v>4750</v>
      </c>
      <c r="H12" s="15">
        <v>1435</v>
      </c>
      <c r="I12" s="26">
        <v>0.30210526315789471</v>
      </c>
    </row>
    <row r="13" spans="1:9" x14ac:dyDescent="0.25">
      <c r="A13" t="s">
        <v>211</v>
      </c>
      <c r="B13" s="6">
        <v>45077</v>
      </c>
      <c r="C13" s="6" t="s">
        <v>176</v>
      </c>
      <c r="D13" s="6" t="s">
        <v>237</v>
      </c>
      <c r="E13" s="7" t="s">
        <v>240</v>
      </c>
      <c r="F13" s="7" t="s">
        <v>234</v>
      </c>
      <c r="G13" s="16">
        <v>6000</v>
      </c>
      <c r="H13" s="15">
        <v>998</v>
      </c>
      <c r="I13" s="26">
        <v>0.16633333333333333</v>
      </c>
    </row>
    <row r="14" spans="1:9" x14ac:dyDescent="0.25">
      <c r="A14" t="s">
        <v>212</v>
      </c>
      <c r="B14" s="6">
        <v>45077</v>
      </c>
      <c r="C14" s="6" t="s">
        <v>186</v>
      </c>
      <c r="D14" s="6" t="s">
        <v>235</v>
      </c>
      <c r="E14" s="7" t="s">
        <v>239</v>
      </c>
      <c r="F14" s="7" t="s">
        <v>231</v>
      </c>
      <c r="G14" s="16">
        <v>4500</v>
      </c>
      <c r="H14" s="15">
        <v>780</v>
      </c>
      <c r="I14" s="26">
        <v>0.17333333333333334</v>
      </c>
    </row>
    <row r="15" spans="1:9" x14ac:dyDescent="0.25">
      <c r="A15" t="s">
        <v>213</v>
      </c>
      <c r="B15" s="6">
        <v>45078</v>
      </c>
      <c r="C15" s="6" t="s">
        <v>178</v>
      </c>
      <c r="D15" s="6" t="s">
        <v>235</v>
      </c>
      <c r="E15" s="7" t="s">
        <v>239</v>
      </c>
      <c r="F15" s="7" t="s">
        <v>230</v>
      </c>
      <c r="G15" s="17">
        <v>4994</v>
      </c>
      <c r="H15" s="15">
        <v>1044</v>
      </c>
      <c r="I15" s="26">
        <v>0.20905086103323989</v>
      </c>
    </row>
    <row r="16" spans="1:9" x14ac:dyDescent="0.25">
      <c r="A16" t="s">
        <v>214</v>
      </c>
      <c r="B16" s="6">
        <v>45078</v>
      </c>
      <c r="C16" s="6" t="s">
        <v>195</v>
      </c>
      <c r="D16" s="6" t="s">
        <v>235</v>
      </c>
      <c r="E16" s="7" t="s">
        <v>239</v>
      </c>
      <c r="F16" s="7" t="s">
        <v>234</v>
      </c>
      <c r="G16" s="16">
        <v>3712.5</v>
      </c>
      <c r="H16" s="15">
        <v>1222</v>
      </c>
      <c r="I16" s="26">
        <v>0.32915824915824915</v>
      </c>
    </row>
    <row r="17" spans="1:11" x14ac:dyDescent="0.25">
      <c r="A17" t="s">
        <v>215</v>
      </c>
      <c r="B17" s="6">
        <v>45078</v>
      </c>
      <c r="C17" s="6" t="s">
        <v>193</v>
      </c>
      <c r="D17" s="6" t="s">
        <v>235</v>
      </c>
      <c r="E17" s="7" t="s">
        <v>239</v>
      </c>
      <c r="F17" s="7" t="s">
        <v>234</v>
      </c>
      <c r="G17" s="16">
        <v>4950</v>
      </c>
      <c r="H17" s="15">
        <v>1065</v>
      </c>
      <c r="I17" s="26">
        <v>0.21515151515151515</v>
      </c>
    </row>
    <row r="18" spans="1:11" x14ac:dyDescent="0.25">
      <c r="A18" t="s">
        <v>216</v>
      </c>
      <c r="B18" s="6">
        <v>45078</v>
      </c>
      <c r="C18" s="6" t="s">
        <v>173</v>
      </c>
      <c r="D18" s="6" t="s">
        <v>237</v>
      </c>
      <c r="E18" s="7" t="s">
        <v>240</v>
      </c>
      <c r="F18" s="7" t="s">
        <v>234</v>
      </c>
      <c r="G18" s="16">
        <v>4750</v>
      </c>
      <c r="H18" s="15">
        <v>810</v>
      </c>
      <c r="I18" s="26">
        <v>0.17052631578947369</v>
      </c>
    </row>
    <row r="19" spans="1:11" x14ac:dyDescent="0.25">
      <c r="A19" t="s">
        <v>217</v>
      </c>
      <c r="B19" s="6">
        <v>45078</v>
      </c>
      <c r="C19" s="6" t="s">
        <v>172</v>
      </c>
      <c r="D19" s="6" t="s">
        <v>237</v>
      </c>
      <c r="E19" s="7" t="s">
        <v>240</v>
      </c>
      <c r="F19" s="7" t="s">
        <v>234</v>
      </c>
      <c r="G19" s="16">
        <v>7320</v>
      </c>
      <c r="H19" s="15">
        <v>933</v>
      </c>
      <c r="I19" s="26">
        <v>0.12745901639344262</v>
      </c>
    </row>
    <row r="20" spans="1:11" x14ac:dyDescent="0.25">
      <c r="A20" t="s">
        <v>218</v>
      </c>
      <c r="B20" s="6">
        <v>45078</v>
      </c>
      <c r="C20" s="6" t="s">
        <v>170</v>
      </c>
      <c r="D20" s="6" t="s">
        <v>235</v>
      </c>
      <c r="E20" s="7" t="s">
        <v>239</v>
      </c>
      <c r="F20" s="7" t="s">
        <v>234</v>
      </c>
      <c r="G20" s="16">
        <v>5087.5</v>
      </c>
      <c r="H20" s="15">
        <v>655</v>
      </c>
      <c r="I20" s="26">
        <v>0.12874692874692875</v>
      </c>
      <c r="K20" s="11"/>
    </row>
    <row r="21" spans="1:11" x14ac:dyDescent="0.25">
      <c r="A21" t="s">
        <v>219</v>
      </c>
      <c r="B21" s="6">
        <v>45078</v>
      </c>
      <c r="C21" s="6" t="s">
        <v>182</v>
      </c>
      <c r="D21" s="6" t="s">
        <v>235</v>
      </c>
      <c r="E21" s="7" t="s">
        <v>239</v>
      </c>
      <c r="F21" s="7" t="s">
        <v>234</v>
      </c>
      <c r="G21" s="16">
        <v>4500</v>
      </c>
      <c r="H21" s="15">
        <v>722</v>
      </c>
      <c r="I21" s="26">
        <v>0.16044444444444445</v>
      </c>
    </row>
    <row r="22" spans="1:11" x14ac:dyDescent="0.25">
      <c r="A22" t="s">
        <v>220</v>
      </c>
      <c r="B22" s="6">
        <v>45078</v>
      </c>
      <c r="C22" s="6" t="s">
        <v>181</v>
      </c>
      <c r="D22" s="6" t="s">
        <v>235</v>
      </c>
      <c r="E22" s="7" t="s">
        <v>239</v>
      </c>
      <c r="F22" s="7" t="s">
        <v>230</v>
      </c>
      <c r="G22" s="16">
        <v>4250</v>
      </c>
      <c r="H22" s="15">
        <v>901</v>
      </c>
      <c r="I22" s="26">
        <v>0.21199999999999999</v>
      </c>
    </row>
    <row r="23" spans="1:11" x14ac:dyDescent="0.25">
      <c r="A23" t="s">
        <v>221</v>
      </c>
      <c r="B23" s="6">
        <v>45079</v>
      </c>
      <c r="C23" s="6" t="s">
        <v>187</v>
      </c>
      <c r="D23" s="6" t="s">
        <v>235</v>
      </c>
      <c r="E23" s="7" t="s">
        <v>239</v>
      </c>
      <c r="F23" s="7" t="s">
        <v>233</v>
      </c>
      <c r="G23" s="16">
        <v>5250</v>
      </c>
      <c r="H23" s="15">
        <v>1349</v>
      </c>
      <c r="I23" s="26">
        <v>0.25695238095238093</v>
      </c>
    </row>
    <row r="24" spans="1:11" x14ac:dyDescent="0.25">
      <c r="A24" t="s">
        <v>222</v>
      </c>
      <c r="B24" s="6">
        <v>45079</v>
      </c>
      <c r="C24" s="6" t="s">
        <v>175</v>
      </c>
      <c r="D24" s="6" t="s">
        <v>238</v>
      </c>
      <c r="E24" s="7" t="s">
        <v>241</v>
      </c>
      <c r="F24" s="7" t="s">
        <v>233</v>
      </c>
      <c r="G24" s="16">
        <v>6500</v>
      </c>
      <c r="H24" s="15">
        <v>1288</v>
      </c>
      <c r="I24" s="26">
        <v>0.19815384615384615</v>
      </c>
    </row>
    <row r="25" spans="1:11" x14ac:dyDescent="0.25">
      <c r="A25" t="s">
        <v>223</v>
      </c>
      <c r="B25" s="6">
        <v>45079</v>
      </c>
      <c r="C25" s="6" t="s">
        <v>177</v>
      </c>
      <c r="D25" s="6" t="s">
        <v>238</v>
      </c>
      <c r="E25" s="7" t="s">
        <v>241</v>
      </c>
      <c r="F25" s="7" t="s">
        <v>233</v>
      </c>
      <c r="G25" s="16">
        <v>7500</v>
      </c>
      <c r="H25" s="15">
        <v>1664</v>
      </c>
      <c r="I25" s="26">
        <v>0.22186666666666666</v>
      </c>
    </row>
    <row r="26" spans="1:11" x14ac:dyDescent="0.25">
      <c r="A26" t="s">
        <v>224</v>
      </c>
      <c r="B26" s="6">
        <v>45079</v>
      </c>
      <c r="C26" s="6" t="s">
        <v>183</v>
      </c>
      <c r="D26" s="6" t="s">
        <v>238</v>
      </c>
      <c r="E26" s="7" t="s">
        <v>241</v>
      </c>
      <c r="F26" s="7" t="s">
        <v>234</v>
      </c>
      <c r="G26" s="16">
        <v>5500</v>
      </c>
      <c r="H26" s="15">
        <v>1320</v>
      </c>
      <c r="I26" s="26">
        <v>0.24</v>
      </c>
    </row>
    <row r="27" spans="1:11" x14ac:dyDescent="0.25">
      <c r="A27" t="s">
        <v>225</v>
      </c>
      <c r="B27" s="6">
        <v>45079</v>
      </c>
      <c r="C27" s="6" t="s">
        <v>179</v>
      </c>
      <c r="D27" s="6" t="s">
        <v>238</v>
      </c>
      <c r="E27" s="7" t="s">
        <v>241</v>
      </c>
      <c r="F27" s="7" t="s">
        <v>234</v>
      </c>
      <c r="G27" s="16">
        <v>4625</v>
      </c>
      <c r="H27" s="15">
        <v>1001</v>
      </c>
      <c r="I27" s="26">
        <v>0.21643243243243243</v>
      </c>
    </row>
    <row r="28" spans="1:11" x14ac:dyDescent="0.25">
      <c r="A28" t="s">
        <v>226</v>
      </c>
      <c r="B28" s="6">
        <v>45079</v>
      </c>
      <c r="C28" s="6" t="s">
        <v>180</v>
      </c>
      <c r="D28" s="6" t="s">
        <v>238</v>
      </c>
      <c r="E28" s="7" t="s">
        <v>241</v>
      </c>
      <c r="F28" s="7" t="s">
        <v>234</v>
      </c>
      <c r="G28" s="16">
        <v>4500</v>
      </c>
      <c r="H28" s="15">
        <v>960</v>
      </c>
      <c r="I28" s="26">
        <v>0.21333333333333335</v>
      </c>
    </row>
    <row r="29" spans="1:11" x14ac:dyDescent="0.25">
      <c r="A29" t="s">
        <v>227</v>
      </c>
      <c r="B29" s="6">
        <v>45079</v>
      </c>
      <c r="C29" s="6" t="s">
        <v>185</v>
      </c>
      <c r="D29" s="6" t="s">
        <v>238</v>
      </c>
      <c r="E29" s="7" t="s">
        <v>241</v>
      </c>
      <c r="F29" s="7" t="s">
        <v>230</v>
      </c>
      <c r="G29" s="16">
        <v>5400</v>
      </c>
      <c r="H29" s="15">
        <v>540</v>
      </c>
      <c r="I29" s="26">
        <v>0.1</v>
      </c>
    </row>
    <row r="30" spans="1:11" x14ac:dyDescent="0.25">
      <c r="A30" t="s">
        <v>243</v>
      </c>
      <c r="B30" s="3">
        <v>45108</v>
      </c>
      <c r="C30" s="6" t="s">
        <v>185</v>
      </c>
      <c r="D30" s="6" t="s">
        <v>238</v>
      </c>
      <c r="E30" s="7" t="s">
        <v>242</v>
      </c>
      <c r="F30" s="7" t="s">
        <v>231</v>
      </c>
      <c r="G30" s="18">
        <v>5400</v>
      </c>
      <c r="H30" s="19">
        <v>500</v>
      </c>
      <c r="I30" s="27">
        <v>0.09</v>
      </c>
    </row>
    <row r="31" spans="1:11" x14ac:dyDescent="0.25">
      <c r="I31" s="28"/>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2"/>
  <sheetViews>
    <sheetView topLeftCell="A5" zoomScale="70" zoomScaleNormal="70" workbookViewId="0">
      <selection activeCell="G3" sqref="G3:G33"/>
    </sheetView>
  </sheetViews>
  <sheetFormatPr defaultColWidth="11" defaultRowHeight="15.75" x14ac:dyDescent="0.25"/>
  <cols>
    <col min="1" max="1" width="3.5" customWidth="1"/>
    <col min="2" max="2" width="5.875" customWidth="1"/>
    <col min="3" max="3" width="21" customWidth="1"/>
    <col min="4" max="4" width="16.875" bestFit="1" customWidth="1"/>
    <col min="5" max="5" width="20.625" customWidth="1"/>
    <col min="6" max="6" width="12.25" bestFit="1" customWidth="1"/>
    <col min="7" max="7" width="12" bestFit="1" customWidth="1"/>
    <col min="8" max="8" width="8.25" bestFit="1" customWidth="1"/>
    <col min="9" max="9" width="18.125" bestFit="1" customWidth="1"/>
  </cols>
  <sheetData>
    <row r="2" spans="2:9" ht="23.25" x14ac:dyDescent="0.35">
      <c r="B2" s="4" t="s">
        <v>0</v>
      </c>
      <c r="C2" s="4" t="s">
        <v>5</v>
      </c>
      <c r="D2" s="4" t="s">
        <v>1</v>
      </c>
      <c r="E2" s="4" t="s">
        <v>6</v>
      </c>
      <c r="F2" s="4" t="s">
        <v>47</v>
      </c>
      <c r="G2" s="4" t="s">
        <v>2</v>
      </c>
      <c r="H2" s="4" t="s">
        <v>3</v>
      </c>
      <c r="I2" s="4" t="s">
        <v>4</v>
      </c>
    </row>
    <row r="3" spans="2:9" x14ac:dyDescent="0.25">
      <c r="B3" s="3">
        <v>45076</v>
      </c>
      <c r="C3" t="s">
        <v>7</v>
      </c>
      <c r="D3" t="s">
        <v>40</v>
      </c>
      <c r="E3" t="s">
        <v>68</v>
      </c>
      <c r="F3" t="s">
        <v>51</v>
      </c>
      <c r="G3" s="1">
        <v>4500</v>
      </c>
      <c r="H3" s="1">
        <v>598</v>
      </c>
      <c r="I3" s="2">
        <f>H3/G3</f>
        <v>0.13288888888888889</v>
      </c>
    </row>
    <row r="4" spans="2:9" x14ac:dyDescent="0.25">
      <c r="B4" s="3">
        <v>45076</v>
      </c>
      <c r="C4" t="s">
        <v>8</v>
      </c>
      <c r="D4" t="s">
        <v>41</v>
      </c>
      <c r="E4" t="s">
        <v>69</v>
      </c>
      <c r="F4" t="s">
        <v>49</v>
      </c>
      <c r="G4" s="1">
        <v>3800</v>
      </c>
      <c r="H4" s="1">
        <v>1045</v>
      </c>
      <c r="I4" s="2">
        <f t="shared" ref="I4:I32" si="0">H4/G4</f>
        <v>0.27500000000000002</v>
      </c>
    </row>
    <row r="5" spans="2:9" x14ac:dyDescent="0.25">
      <c r="B5" s="3">
        <v>45076</v>
      </c>
      <c r="C5" t="s">
        <v>9</v>
      </c>
      <c r="D5" t="s">
        <v>42</v>
      </c>
      <c r="E5" t="s">
        <v>69</v>
      </c>
      <c r="G5" s="1">
        <v>3712.5</v>
      </c>
      <c r="H5" s="1">
        <v>1009</v>
      </c>
      <c r="I5" s="2">
        <f t="shared" si="0"/>
        <v>0.2717845117845118</v>
      </c>
    </row>
    <row r="6" spans="2:9" x14ac:dyDescent="0.25">
      <c r="B6" s="3">
        <v>45076</v>
      </c>
      <c r="C6" t="s">
        <v>10</v>
      </c>
      <c r="D6" t="s">
        <v>35</v>
      </c>
      <c r="E6" t="s">
        <v>70</v>
      </c>
      <c r="G6" s="1"/>
      <c r="H6" s="1">
        <v>779</v>
      </c>
      <c r="I6" s="2" t="e">
        <f>H6/G6</f>
        <v>#DIV/0!</v>
      </c>
    </row>
    <row r="7" spans="2:9" x14ac:dyDescent="0.25">
      <c r="B7" s="3">
        <v>45076</v>
      </c>
      <c r="C7" t="s">
        <v>11</v>
      </c>
      <c r="D7" t="s">
        <v>43</v>
      </c>
      <c r="E7" t="s">
        <v>70</v>
      </c>
      <c r="F7" t="s">
        <v>50</v>
      </c>
      <c r="G7" s="1">
        <v>5000</v>
      </c>
      <c r="H7" s="1">
        <v>684</v>
      </c>
      <c r="I7" s="2">
        <f t="shared" si="0"/>
        <v>0.1368</v>
      </c>
    </row>
    <row r="8" spans="2:9" x14ac:dyDescent="0.25">
      <c r="B8" s="3">
        <v>45077</v>
      </c>
      <c r="C8" t="s">
        <v>12</v>
      </c>
      <c r="D8" t="s">
        <v>44</v>
      </c>
      <c r="E8" t="s">
        <v>68</v>
      </c>
      <c r="F8" t="s">
        <v>51</v>
      </c>
      <c r="G8" s="1">
        <v>6100</v>
      </c>
      <c r="H8" s="1">
        <v>544</v>
      </c>
      <c r="I8" s="2">
        <f t="shared" si="0"/>
        <v>8.9180327868852466E-2</v>
      </c>
    </row>
    <row r="9" spans="2:9" x14ac:dyDescent="0.25">
      <c r="B9" s="3">
        <v>45077</v>
      </c>
      <c r="C9" t="s">
        <v>13</v>
      </c>
      <c r="D9" t="s">
        <v>45</v>
      </c>
      <c r="E9" t="s">
        <v>68</v>
      </c>
      <c r="F9" t="s">
        <v>51</v>
      </c>
      <c r="G9" s="1">
        <v>4625</v>
      </c>
      <c r="H9" s="1">
        <v>670</v>
      </c>
      <c r="I9" s="2">
        <f t="shared" si="0"/>
        <v>0.14486486486486486</v>
      </c>
    </row>
    <row r="10" spans="2:9" ht="164.25" customHeight="1" x14ac:dyDescent="0.25">
      <c r="B10" s="3">
        <v>45077</v>
      </c>
      <c r="C10" t="s">
        <v>14</v>
      </c>
      <c r="D10" t="s">
        <v>46</v>
      </c>
      <c r="E10" t="s">
        <v>68</v>
      </c>
      <c r="F10" t="s">
        <v>51</v>
      </c>
      <c r="G10" s="1">
        <v>3800</v>
      </c>
      <c r="H10" s="1">
        <v>2045</v>
      </c>
      <c r="I10" s="2">
        <f t="shared" si="0"/>
        <v>0.53815789473684206</v>
      </c>
    </row>
    <row r="11" spans="2:9" x14ac:dyDescent="0.25">
      <c r="B11" s="3">
        <v>45077</v>
      </c>
      <c r="C11" t="s">
        <v>15</v>
      </c>
      <c r="D11" t="s">
        <v>36</v>
      </c>
      <c r="E11" t="s">
        <v>68</v>
      </c>
      <c r="F11" t="s">
        <v>48</v>
      </c>
      <c r="G11" s="1">
        <v>3600</v>
      </c>
      <c r="H11" s="1">
        <v>1564</v>
      </c>
      <c r="I11" s="2">
        <f t="shared" si="0"/>
        <v>0.43444444444444447</v>
      </c>
    </row>
    <row r="12" spans="2:9" x14ac:dyDescent="0.25">
      <c r="B12" s="3">
        <v>45077</v>
      </c>
      <c r="C12" t="s">
        <v>16</v>
      </c>
      <c r="D12" t="s">
        <v>37</v>
      </c>
      <c r="E12" t="s">
        <v>68</v>
      </c>
      <c r="F12" t="s">
        <v>50</v>
      </c>
      <c r="G12" s="1">
        <v>5100</v>
      </c>
      <c r="H12" s="1">
        <v>1220</v>
      </c>
      <c r="I12" s="2">
        <f t="shared" si="0"/>
        <v>0.23921568627450981</v>
      </c>
    </row>
    <row r="13" spans="2:9" x14ac:dyDescent="0.25">
      <c r="B13" s="3">
        <v>45077</v>
      </c>
      <c r="C13" t="s">
        <v>17</v>
      </c>
      <c r="D13" t="s">
        <v>52</v>
      </c>
      <c r="E13" t="s">
        <v>68</v>
      </c>
      <c r="F13" t="s">
        <v>50</v>
      </c>
      <c r="G13" s="1">
        <v>4750</v>
      </c>
      <c r="H13" s="1">
        <v>1435</v>
      </c>
      <c r="I13" s="2">
        <f t="shared" si="0"/>
        <v>0.30210526315789471</v>
      </c>
    </row>
    <row r="14" spans="2:9" x14ac:dyDescent="0.25">
      <c r="B14" s="3">
        <v>45077</v>
      </c>
      <c r="C14" t="s">
        <v>18</v>
      </c>
      <c r="D14" t="s">
        <v>53</v>
      </c>
      <c r="E14" t="s">
        <v>70</v>
      </c>
      <c r="F14" t="s">
        <v>51</v>
      </c>
      <c r="G14" s="1">
        <v>6000</v>
      </c>
      <c r="H14" s="1">
        <v>998</v>
      </c>
      <c r="I14" s="2">
        <f t="shared" si="0"/>
        <v>0.16633333333333333</v>
      </c>
    </row>
    <row r="15" spans="2:9" x14ac:dyDescent="0.25">
      <c r="B15" s="3">
        <v>45077</v>
      </c>
      <c r="C15" t="s">
        <v>19</v>
      </c>
      <c r="D15" t="s">
        <v>54</v>
      </c>
      <c r="E15" t="s">
        <v>71</v>
      </c>
      <c r="F15" t="s">
        <v>50</v>
      </c>
      <c r="G15" s="1">
        <v>4500</v>
      </c>
      <c r="H15" s="1">
        <v>780</v>
      </c>
      <c r="I15" s="2">
        <f t="shared" si="0"/>
        <v>0.17333333333333334</v>
      </c>
    </row>
    <row r="16" spans="2:9" x14ac:dyDescent="0.25">
      <c r="B16" s="3">
        <v>45078</v>
      </c>
      <c r="C16" t="s">
        <v>20</v>
      </c>
      <c r="D16" t="s">
        <v>38</v>
      </c>
      <c r="E16" t="s">
        <v>71</v>
      </c>
      <c r="F16" t="s">
        <v>48</v>
      </c>
      <c r="G16" s="1"/>
      <c r="H16" s="1">
        <v>1044</v>
      </c>
      <c r="I16" s="2" t="e">
        <f t="shared" si="0"/>
        <v>#DIV/0!</v>
      </c>
    </row>
    <row r="17" spans="2:9" x14ac:dyDescent="0.25">
      <c r="B17" s="3">
        <v>45078</v>
      </c>
      <c r="C17" t="s">
        <v>21</v>
      </c>
      <c r="D17" t="s">
        <v>55</v>
      </c>
      <c r="E17" t="s">
        <v>71</v>
      </c>
      <c r="F17" t="s">
        <v>51</v>
      </c>
      <c r="G17" s="1">
        <v>3712.5</v>
      </c>
      <c r="H17" s="1">
        <v>1222</v>
      </c>
      <c r="I17" s="2">
        <f t="shared" si="0"/>
        <v>0.32915824915824915</v>
      </c>
    </row>
    <row r="18" spans="2:9" x14ac:dyDescent="0.25">
      <c r="B18" s="3">
        <v>45078</v>
      </c>
      <c r="C18" t="s">
        <v>22</v>
      </c>
      <c r="D18" t="s">
        <v>56</v>
      </c>
      <c r="E18" t="s">
        <v>71</v>
      </c>
      <c r="F18" t="s">
        <v>51</v>
      </c>
      <c r="G18" s="1">
        <v>4950</v>
      </c>
      <c r="H18" s="1">
        <v>1065</v>
      </c>
      <c r="I18" s="2">
        <f t="shared" si="0"/>
        <v>0.21515151515151515</v>
      </c>
    </row>
    <row r="19" spans="2:9" x14ac:dyDescent="0.25">
      <c r="B19" s="3">
        <v>45078</v>
      </c>
      <c r="C19" t="s">
        <v>23</v>
      </c>
      <c r="D19" t="s">
        <v>57</v>
      </c>
      <c r="E19" t="s">
        <v>70</v>
      </c>
      <c r="F19" t="s">
        <v>51</v>
      </c>
      <c r="G19" s="1">
        <v>4750</v>
      </c>
      <c r="H19" s="1">
        <v>810</v>
      </c>
      <c r="I19" s="2">
        <f t="shared" si="0"/>
        <v>0.17052631578947369</v>
      </c>
    </row>
    <row r="20" spans="2:9" ht="159.75" customHeight="1" x14ac:dyDescent="0.25">
      <c r="B20" s="3">
        <v>45078</v>
      </c>
      <c r="C20" t="s">
        <v>24</v>
      </c>
      <c r="D20" t="s">
        <v>58</v>
      </c>
      <c r="E20" t="s">
        <v>70</v>
      </c>
      <c r="F20" t="s">
        <v>51</v>
      </c>
      <c r="G20" s="1">
        <v>7320</v>
      </c>
      <c r="H20" s="1">
        <v>933</v>
      </c>
      <c r="I20" s="2">
        <f t="shared" si="0"/>
        <v>0.12745901639344262</v>
      </c>
    </row>
    <row r="21" spans="2:9" x14ac:dyDescent="0.25">
      <c r="B21" s="3">
        <v>45077</v>
      </c>
      <c r="C21" t="s">
        <v>18</v>
      </c>
      <c r="D21" t="s">
        <v>53</v>
      </c>
      <c r="E21" t="s">
        <v>70</v>
      </c>
      <c r="F21" t="s">
        <v>51</v>
      </c>
      <c r="G21" s="1">
        <v>6000</v>
      </c>
      <c r="H21" s="1">
        <v>998</v>
      </c>
      <c r="I21" s="2">
        <f t="shared" ref="I21:I22" si="1">H21/G21</f>
        <v>0.16633333333333333</v>
      </c>
    </row>
    <row r="22" spans="2:9" x14ac:dyDescent="0.25">
      <c r="B22" s="3">
        <v>45077</v>
      </c>
      <c r="C22" t="s">
        <v>19</v>
      </c>
      <c r="D22" t="s">
        <v>54</v>
      </c>
      <c r="E22" t="s">
        <v>71</v>
      </c>
      <c r="F22" t="s">
        <v>50</v>
      </c>
      <c r="G22" s="1">
        <v>4500</v>
      </c>
      <c r="H22" s="1">
        <v>780</v>
      </c>
      <c r="I22" s="2">
        <f t="shared" si="1"/>
        <v>0.17333333333333334</v>
      </c>
    </row>
    <row r="23" spans="2:9" x14ac:dyDescent="0.25">
      <c r="B23" s="3">
        <v>45078</v>
      </c>
      <c r="C23" t="s">
        <v>25</v>
      </c>
      <c r="D23" t="s">
        <v>59</v>
      </c>
      <c r="E23" t="s">
        <v>71</v>
      </c>
      <c r="F23" t="s">
        <v>51</v>
      </c>
      <c r="G23" s="1">
        <v>5087.5</v>
      </c>
      <c r="H23" s="1">
        <v>655</v>
      </c>
      <c r="I23" s="2">
        <f t="shared" si="0"/>
        <v>0.12874692874692875</v>
      </c>
    </row>
    <row r="24" spans="2:9" x14ac:dyDescent="0.25">
      <c r="B24" s="3">
        <v>45078</v>
      </c>
      <c r="C24" t="s">
        <v>26</v>
      </c>
      <c r="D24" t="s">
        <v>60</v>
      </c>
      <c r="E24" t="s">
        <v>71</v>
      </c>
      <c r="F24" t="s">
        <v>51</v>
      </c>
      <c r="G24" s="1">
        <v>4500</v>
      </c>
      <c r="H24" s="1">
        <v>722</v>
      </c>
      <c r="I24" s="2">
        <f t="shared" si="0"/>
        <v>0.16044444444444445</v>
      </c>
    </row>
    <row r="25" spans="2:9" x14ac:dyDescent="0.25">
      <c r="B25" s="3">
        <v>45078</v>
      </c>
      <c r="C25" t="s">
        <v>27</v>
      </c>
      <c r="D25" t="s">
        <v>61</v>
      </c>
      <c r="E25" t="s">
        <v>71</v>
      </c>
      <c r="F25" t="s">
        <v>48</v>
      </c>
      <c r="G25" s="1">
        <v>4250</v>
      </c>
      <c r="H25" s="1">
        <v>901</v>
      </c>
      <c r="I25" s="2">
        <f t="shared" si="0"/>
        <v>0.21199999999999999</v>
      </c>
    </row>
    <row r="26" spans="2:9" x14ac:dyDescent="0.25">
      <c r="B26" s="3">
        <v>45079</v>
      </c>
      <c r="C26" t="s">
        <v>28</v>
      </c>
      <c r="D26" t="s">
        <v>62</v>
      </c>
      <c r="E26" t="s">
        <v>71</v>
      </c>
      <c r="F26" t="s">
        <v>49</v>
      </c>
      <c r="G26" s="1">
        <v>5250</v>
      </c>
      <c r="H26" s="1">
        <v>1349</v>
      </c>
      <c r="I26" s="2">
        <f t="shared" si="0"/>
        <v>0.25695238095238093</v>
      </c>
    </row>
    <row r="27" spans="2:9" x14ac:dyDescent="0.25">
      <c r="B27" s="3">
        <v>45079</v>
      </c>
      <c r="C27" t="s">
        <v>29</v>
      </c>
      <c r="D27" t="s">
        <v>63</v>
      </c>
      <c r="E27" t="s">
        <v>69</v>
      </c>
      <c r="F27" t="s">
        <v>49</v>
      </c>
      <c r="G27" s="1">
        <v>6500</v>
      </c>
      <c r="H27" s="1">
        <v>1288</v>
      </c>
      <c r="I27" s="2">
        <f t="shared" si="0"/>
        <v>0.19815384615384615</v>
      </c>
    </row>
    <row r="28" spans="2:9" x14ac:dyDescent="0.25">
      <c r="B28" s="3">
        <v>45079</v>
      </c>
      <c r="C28" t="s">
        <v>30</v>
      </c>
      <c r="D28" t="s">
        <v>64</v>
      </c>
      <c r="E28" t="s">
        <v>69</v>
      </c>
      <c r="F28" t="s">
        <v>49</v>
      </c>
      <c r="G28" s="1">
        <v>7500</v>
      </c>
      <c r="H28" s="1">
        <v>1664</v>
      </c>
      <c r="I28" s="2">
        <f t="shared" si="0"/>
        <v>0.22186666666666666</v>
      </c>
    </row>
    <row r="29" spans="2:9" x14ac:dyDescent="0.25">
      <c r="B29" s="3">
        <v>45079</v>
      </c>
      <c r="C29" t="s">
        <v>31</v>
      </c>
      <c r="D29" t="s">
        <v>65</v>
      </c>
      <c r="E29" t="s">
        <v>69</v>
      </c>
      <c r="F29" t="s">
        <v>51</v>
      </c>
      <c r="G29" s="1">
        <v>5500</v>
      </c>
      <c r="H29" s="1">
        <v>1320</v>
      </c>
      <c r="I29" s="2">
        <f t="shared" si="0"/>
        <v>0.24</v>
      </c>
    </row>
    <row r="30" spans="2:9" x14ac:dyDescent="0.25">
      <c r="B30" s="3">
        <v>45079</v>
      </c>
      <c r="C30" t="s">
        <v>32</v>
      </c>
      <c r="D30" t="s">
        <v>66</v>
      </c>
      <c r="E30" t="s">
        <v>69</v>
      </c>
      <c r="F30" t="s">
        <v>51</v>
      </c>
      <c r="G30" s="1">
        <v>4625</v>
      </c>
      <c r="H30" s="1">
        <v>1001</v>
      </c>
      <c r="I30" s="2">
        <f t="shared" si="0"/>
        <v>0.21643243243243243</v>
      </c>
    </row>
    <row r="31" spans="2:9" x14ac:dyDescent="0.25">
      <c r="B31" s="3">
        <v>45079</v>
      </c>
      <c r="C31" t="s">
        <v>33</v>
      </c>
      <c r="D31" t="s">
        <v>67</v>
      </c>
      <c r="E31" t="s">
        <v>69</v>
      </c>
      <c r="F31" t="s">
        <v>51</v>
      </c>
      <c r="G31" s="1">
        <v>4500</v>
      </c>
      <c r="H31" s="1">
        <v>960</v>
      </c>
      <c r="I31" s="2">
        <f t="shared" si="0"/>
        <v>0.21333333333333335</v>
      </c>
    </row>
    <row r="32" spans="2:9" x14ac:dyDescent="0.25">
      <c r="B32" s="3">
        <v>45079</v>
      </c>
      <c r="C32" t="s">
        <v>34</v>
      </c>
      <c r="D32" t="s">
        <v>39</v>
      </c>
      <c r="E32" t="s">
        <v>69</v>
      </c>
      <c r="F32" t="s">
        <v>48</v>
      </c>
      <c r="G32" s="1">
        <v>5400</v>
      </c>
      <c r="H32" s="1">
        <v>540</v>
      </c>
      <c r="I32" s="2">
        <f t="shared" si="0"/>
        <v>0.1</v>
      </c>
    </row>
    <row r="33" spans="2:9" x14ac:dyDescent="0.25">
      <c r="B33" s="3">
        <v>45076</v>
      </c>
      <c r="C33" t="s">
        <v>11</v>
      </c>
      <c r="D33" t="s">
        <v>43</v>
      </c>
      <c r="E33" t="s">
        <v>70</v>
      </c>
      <c r="F33" t="s">
        <v>50</v>
      </c>
      <c r="G33" s="1">
        <v>5000</v>
      </c>
      <c r="H33" s="1">
        <v>684</v>
      </c>
      <c r="I33" s="2">
        <f t="shared" ref="I33" si="2">H33/G33</f>
        <v>0.1368</v>
      </c>
    </row>
    <row r="34" spans="2:9" x14ac:dyDescent="0.25">
      <c r="G34" s="1"/>
    </row>
    <row r="35" spans="2:9" x14ac:dyDescent="0.25">
      <c r="G35" s="1"/>
    </row>
    <row r="36" spans="2:9" x14ac:dyDescent="0.25">
      <c r="G36" s="1"/>
    </row>
    <row r="37" spans="2:9" x14ac:dyDescent="0.25">
      <c r="G37" s="1"/>
    </row>
    <row r="38" spans="2:9" x14ac:dyDescent="0.25">
      <c r="G38" s="1"/>
    </row>
    <row r="39" spans="2:9" x14ac:dyDescent="0.25">
      <c r="G39" s="1"/>
    </row>
    <row r="40" spans="2:9" x14ac:dyDescent="0.25">
      <c r="G40" s="1"/>
    </row>
    <row r="41" spans="2:9" x14ac:dyDescent="0.25">
      <c r="G41" s="1"/>
    </row>
    <row r="42" spans="2:9" x14ac:dyDescent="0.25">
      <c r="G42"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85CC7A1-2A88-4F05-8BB0-91B82FF33F01}">
  <ds:schemaRefs/>
</ds:datastoreItem>
</file>

<file path=customXml/itemProps2.xml><?xml version="1.0" encoding="utf-8"?>
<ds:datastoreItem xmlns:ds="http://schemas.openxmlformats.org/officeDocument/2006/customXml" ds:itemID="{E4730BA2-4A6E-475E-99BA-D9803FB52294}">
  <ds:schemaRefs/>
</ds:datastoreItem>
</file>

<file path=customXml/itemProps3.xml><?xml version="1.0" encoding="utf-8"?>
<ds:datastoreItem xmlns:ds="http://schemas.openxmlformats.org/officeDocument/2006/customXml" ds:itemID="{EBE9E2A0-9F3E-4BB0-AB36-DF026CFB63E4}">
  <ds:schemaRefs/>
</ds:datastoreItem>
</file>

<file path=customXml/itemProps4.xml><?xml version="1.0" encoding="utf-8"?>
<ds:datastoreItem xmlns:ds="http://schemas.openxmlformats.org/officeDocument/2006/customXml" ds:itemID="{4C9BC891-36E6-42AB-913C-D44481F6BB1E}">
  <ds:schemaRefs/>
</ds:datastoreItem>
</file>

<file path=customXml/itemProps5.xml><?xml version="1.0" encoding="utf-8"?>
<ds:datastoreItem xmlns:ds="http://schemas.openxmlformats.org/officeDocument/2006/customXml" ds:itemID="{54789332-0C2C-4183-BE58-053DD965A9B9}">
  <ds:schemaRefs/>
</ds:datastoreItem>
</file>

<file path=customXml/itemProps6.xml><?xml version="1.0" encoding="utf-8"?>
<ds:datastoreItem xmlns:ds="http://schemas.openxmlformats.org/officeDocument/2006/customXml" ds:itemID="{11D34A34-1C42-4CD8-959F-E49551FBC1A3}">
  <ds:schemaRefs/>
</ds:datastoreItem>
</file>

<file path=customXml/itemProps7.xml><?xml version="1.0" encoding="utf-8"?>
<ds:datastoreItem xmlns:ds="http://schemas.openxmlformats.org/officeDocument/2006/customXml" ds:itemID="{79A07620-5468-4287-B083-8A3F3D728503}">
  <ds:schemaRefs/>
</ds:datastoreItem>
</file>

<file path=customXml/itemProps8.xml><?xml version="1.0" encoding="utf-8"?>
<ds:datastoreItem xmlns:ds="http://schemas.openxmlformats.org/officeDocument/2006/customXml" ds:itemID="{B239105A-8A89-4B61-B160-2959CABEAFEB}">
  <ds:schemaRefs/>
</ds:datastoreItem>
</file>

<file path=customXml/itemProps9.xml><?xml version="1.0" encoding="utf-8"?>
<ds:datastoreItem xmlns:ds="http://schemas.openxmlformats.org/officeDocument/2006/customXml" ds:itemID="{B800B86A-7C6C-4D07-8ED1-A41FD5A141B9}">
  <ds:schemaRefs/>
</ds:datastoreItem>
</file>

<file path=customXml/itemProps10.xml><?xml version="1.0" encoding="utf-8"?>
<ds:datastoreItem xmlns:ds="http://schemas.openxmlformats.org/officeDocument/2006/customXml" ds:itemID="{8D7D2AF1-4208-4CB6-B805-05BC5D77CC6A}">
  <ds:schemaRefs/>
</ds:datastoreItem>
</file>

<file path=customXml/itemProps11.xml><?xml version="1.0" encoding="utf-8"?>
<ds:datastoreItem xmlns:ds="http://schemas.openxmlformats.org/officeDocument/2006/customXml" ds:itemID="{CABBDCE7-488D-4120-9006-061E07BD9C84}">
  <ds:schemaRefs/>
</ds:datastoreItem>
</file>

<file path=customXml/itemProps12.xml><?xml version="1.0" encoding="utf-8"?>
<ds:datastoreItem xmlns:ds="http://schemas.openxmlformats.org/officeDocument/2006/customXml" ds:itemID="{4F6B478E-0DCE-4C52-9679-198721EF53D5}">
  <ds:schemaRefs/>
</ds:datastoreItem>
</file>

<file path=customXml/itemProps13.xml><?xml version="1.0" encoding="utf-8"?>
<ds:datastoreItem xmlns:ds="http://schemas.openxmlformats.org/officeDocument/2006/customXml" ds:itemID="{70AE22F4-0839-441B-8446-594EDE79B4CD}">
  <ds:schemaRefs/>
</ds:datastoreItem>
</file>

<file path=customXml/itemProps14.xml><?xml version="1.0" encoding="utf-8"?>
<ds:datastoreItem xmlns:ds="http://schemas.openxmlformats.org/officeDocument/2006/customXml" ds:itemID="{9CB494F8-5BEA-4E35-BD96-8D7E956A09AC}">
  <ds:schemaRefs/>
</ds:datastoreItem>
</file>

<file path=customXml/itemProps15.xml><?xml version="1.0" encoding="utf-8"?>
<ds:datastoreItem xmlns:ds="http://schemas.openxmlformats.org/officeDocument/2006/customXml" ds:itemID="{4FFD6FEF-58F4-4409-9672-77844650D15F}">
  <ds:schemaRefs/>
</ds:datastoreItem>
</file>

<file path=customXml/itemProps16.xml><?xml version="1.0" encoding="utf-8"?>
<ds:datastoreItem xmlns:ds="http://schemas.openxmlformats.org/officeDocument/2006/customXml" ds:itemID="{47FB155E-DD74-407B-9EB8-C8D988DE690A}">
  <ds:schemaRefs/>
</ds:datastoreItem>
</file>

<file path=customXml/itemProps17.xml><?xml version="1.0" encoding="utf-8"?>
<ds:datastoreItem xmlns:ds="http://schemas.openxmlformats.org/officeDocument/2006/customXml" ds:itemID="{B5E7553D-6CB0-49D9-A747-095ED1604E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Analysis_dim</vt:lpstr>
      <vt:lpstr>Dashi Board</vt:lpstr>
      <vt:lpstr>payment_dim</vt:lpstr>
      <vt:lpstr>state_dim</vt:lpstr>
      <vt:lpstr>dept_dim</vt:lpstr>
      <vt:lpstr>client_dim</vt:lpstr>
      <vt:lpstr>revenue_fact</vt:lpstr>
      <vt:lpstr>Dirty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COMLAB</cp:lastModifiedBy>
  <dcterms:created xsi:type="dcterms:W3CDTF">2023-05-29T07:26:35Z</dcterms:created>
  <dcterms:modified xsi:type="dcterms:W3CDTF">2026-02-20T10:07:32Z</dcterms:modified>
</cp:coreProperties>
</file>